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8_{1FB6E4F5-8327-40B5-A11D-3DEF25BB95DF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<sst xmlns="http://schemas.openxmlformats.org/spreadsheetml/2006/main" count="53" uniqueCount="45">
  <si>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</si>
  <si>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</si>
  <si>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</si>
  <si>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</si>
  <si>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</si>
  <si>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</si>
  <si>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</si>
  <si>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</si>
  <si>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</si>
  <si>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</si>
  <si>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</si>
  <si>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</si>
  <si>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</si>
  <si>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</si>
  <si>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</si>
  <si>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</si>
  <si>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</si>
  <si>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</si>
  <si>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</si>
  <si>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</si>
  <si>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</si>
  <si>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</si>
  <si>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</si>
  <si>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</si>
  <si>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</si>
  <si>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</si>
  <si>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</si>
  <si>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</si>
  <si>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</si>
  <si>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</si>
  <si>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</si>
  <si>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</si>
  <si>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</si>
  <si>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https://youtu.be/SZ3kOG_GLB4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</si>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</sst>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6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u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5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0" fontId="30" fillId="3" borderId="0" xfId="4" applyFont="1" applyFill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1" fillId="3" borderId="0" xfId="2" applyFont="1" applyFill="1"/>
    <xf numFmtId="0" fontId="33" fillId="4" borderId="1" xfId="0" applyFont="1" applyFill="1" applyBorder="1" applyProtection="1">
      <protection locked="0"/>
    </xf>
    <xf numFmtId="0" fontId="34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1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35" fillId="3" borderId="0" xfId="5" applyFill="1"/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2" fillId="5" borderId="18" xfId="2" applyFont="1" applyFill="1" applyBorder="1" applyAlignment="1">
      <alignment horizontal="center"/>
    </xf>
    <xf numFmtId="0" fontId="32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SZ3kOG_GLB4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35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36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>
      <selection activeCell="E3" sqref="E3"/>
    </sheetView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72" t="s">
        <v>44</v>
      </c>
    </row>
    <row r="4" spans="5:5" x14ac:dyDescent="0.25">
      <c r="E4" s="53" t="s">
        <v>33</v>
      </c>
    </row>
    <row r="1970" spans="5:5" x14ac:dyDescent="0.25">
      <c r="E1970" s="37" t="s">
        <v>34</v>
      </c>
    </row>
  </sheetData>
  <sheetProtection algorithmName="SHA-512" hashValue="lbUSKzPFGGcINQZHvdlagySBrtLdkXi1x5LFdDl3q3oQq5hr8sBpQPWPS/gjlIDw8P2CgWya574+F79f7VbUdw==" saltValue="12PedJN6oga8ARX72O2KoQ==" spinCount="100000" sheet="1" selectLockedCells="1" selectUnlockedCells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9">
        <v>10</v>
      </c>
    </row>
    <row r="2" spans="1:6" x14ac:dyDescent="0.25">
      <c r="A2" s="1" t="s">
        <v>10</v>
      </c>
      <c r="B2" s="60">
        <v>4</v>
      </c>
    </row>
    <row r="3" spans="1:6" x14ac:dyDescent="0.25">
      <c r="A3" s="1" t="s">
        <v>7</v>
      </c>
      <c r="B3" s="56">
        <v>0</v>
      </c>
    </row>
    <row r="6" spans="1:6" x14ac:dyDescent="0.25">
      <c r="A6" s="1" t="s">
        <v>43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5">
        <f>B2/B6</f>
        <v>4</v>
      </c>
      <c r="C8" s="54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3" t="s">
        <v>11</v>
      </c>
      <c r="B12" s="73"/>
    </row>
    <row r="13" spans="1:6" x14ac:dyDescent="0.25">
      <c r="A13" s="73"/>
      <c r="B13" s="73"/>
    </row>
    <row r="14" spans="1:6" x14ac:dyDescent="0.25">
      <c r="A14" s="73"/>
      <c r="B14" s="73"/>
    </row>
    <row r="15" spans="1:6" x14ac:dyDescent="0.25">
      <c r="A15" s="73"/>
      <c r="B15" s="73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3">
        <f>NormalCurves!B7</f>
        <v>10</v>
      </c>
      <c r="E1" s="9" t="s">
        <v>16</v>
      </c>
      <c r="F1" s="62">
        <f>NormalCurves!B2</f>
        <v>4</v>
      </c>
      <c r="G1" s="9" t="s">
        <v>17</v>
      </c>
      <c r="H1" s="61">
        <f>NormalCurves!C6</f>
        <v>1</v>
      </c>
      <c r="I1" s="10" t="s">
        <v>15</v>
      </c>
      <c r="J1" s="76" t="s">
        <v>40</v>
      </c>
      <c r="K1" s="76"/>
      <c r="L1" s="76"/>
      <c r="M1" s="76"/>
      <c r="N1" s="76"/>
      <c r="O1" s="76"/>
      <c r="P1" s="76"/>
      <c r="Q1" s="76"/>
      <c r="R1" s="76"/>
      <c r="S1" s="76"/>
    </row>
    <row r="2" spans="1:23" ht="28.2" thickBot="1" x14ac:dyDescent="0.3">
      <c r="A2" s="64" t="s">
        <v>39</v>
      </c>
      <c r="B2" s="65" t="s">
        <v>14</v>
      </c>
      <c r="C2" s="66" t="s">
        <v>21</v>
      </c>
      <c r="D2" s="67">
        <f>IF(ISNUMBER(D1),D1,"")</f>
        <v>10</v>
      </c>
      <c r="E2" s="66" t="s">
        <v>22</v>
      </c>
      <c r="F2" s="68">
        <f>IF(AND(F1&gt;0,H1&gt;=1),F1/H1,"")</f>
        <v>4</v>
      </c>
      <c r="G2" s="77" t="s">
        <v>30</v>
      </c>
      <c r="H2" s="78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3" t="s">
        <v>42</v>
      </c>
      <c r="F4" s="84"/>
      <c r="G4" s="84"/>
      <c r="H4" s="84"/>
      <c r="I4" s="84"/>
      <c r="J4" s="85"/>
    </row>
    <row r="5" spans="1:23" ht="14.4" x14ac:dyDescent="0.3">
      <c r="E5" s="14" t="s">
        <v>25</v>
      </c>
      <c r="F5" s="15" t="s">
        <v>26</v>
      </c>
      <c r="G5" s="79" t="s">
        <v>19</v>
      </c>
      <c r="H5" s="80"/>
      <c r="I5" s="81" t="s">
        <v>39</v>
      </c>
      <c r="J5" s="82"/>
    </row>
    <row r="6" spans="1:23" ht="14.4" x14ac:dyDescent="0.3">
      <c r="A6" s="57" t="s">
        <v>23</v>
      </c>
      <c r="B6" s="22">
        <f ca="1">IF(ISNUMBER(B12),AVERAGE(B12:B1011),"")</f>
        <v>9.9932326956592057</v>
      </c>
      <c r="C6" s="23">
        <f ca="1">IF(ISNUMBER(C12),AVERAGE(C12:C1011),"")</f>
        <v>9.986438753713843</v>
      </c>
      <c r="E6" s="16">
        <v>1</v>
      </c>
      <c r="F6" s="17" t="s">
        <v>29</v>
      </c>
      <c r="G6" s="74">
        <f ca="1">IF(ISNUMBER(B12),COUNTIFS($B$12:$B$1011,"&gt;="&amp;$D$1-$E6*SQRT($F$1),$B$12:$B$1011,"&lt;="&amp;$D$1+$E6*SQRT($F$1))/COUNT($B$12:$B$1011),"")</f>
        <v>0.66</v>
      </c>
      <c r="H6" s="75"/>
      <c r="I6" s="74">
        <f ca="1">IF(ISNUMBER(C12),COUNTIFS($C$12:$C$1011,"&gt;="&amp;$D$2-$E6*SQRT($F$2),$C$12:$C$1011,"&lt;="&amp;$D$2+$E6*SQRT($F$2))/COUNT($C$12:$C$1011),"")</f>
        <v>0.68300000000000005</v>
      </c>
      <c r="J6" s="75"/>
    </row>
    <row r="7" spans="1:23" ht="14.4" x14ac:dyDescent="0.3">
      <c r="A7" s="57" t="s">
        <v>24</v>
      </c>
      <c r="B7" s="24">
        <f ca="1">IF(ISNUMBER(B12),_xlfn.VAR.S(B12:B1011),"")</f>
        <v>4.239870135251623</v>
      </c>
      <c r="C7" s="25">
        <f ca="1">IF(ISNUMBER(C12),_xlfn.VAR.S(C12:C1011),"")</f>
        <v>3.8867165065337055</v>
      </c>
      <c r="E7" s="16">
        <v>2</v>
      </c>
      <c r="F7" s="17" t="s">
        <v>27</v>
      </c>
      <c r="G7" s="74">
        <f ca="1">IF(ISNUMBER(B13),COUNTIFS($B$12:$B$1011,"&gt;="&amp;$D$1-$E7*SQRT($F$1),$B$12:$B$1011,"&lt;="&amp;$D$1+$E7*SQRT($F$1))/COUNT($B$12:$B$1011),"")</f>
        <v>0.94699999999999995</v>
      </c>
      <c r="H7" s="75"/>
      <c r="I7" s="74">
        <f ca="1">IF(ISNUMBER(C13),COUNTIFS($C$12:$C$1011,"&gt;="&amp;$D$2-$E7*SQRT($F$2),$C$12:$C$1011,"&lt;="&amp;$D$2+$E7*SQRT($F$2))/COUNT($C$12:$C$1011),"")</f>
        <v>0.96099999999999997</v>
      </c>
      <c r="J7" s="75"/>
    </row>
    <row r="8" spans="1:23" ht="14.4" x14ac:dyDescent="0.3">
      <c r="A8" s="57"/>
      <c r="E8" s="16">
        <v>3</v>
      </c>
      <c r="F8" s="17" t="s">
        <v>28</v>
      </c>
      <c r="G8" s="74">
        <f ca="1">IF(ISNUMBER(B14),COUNTIFS($B$12:$B$1011,"&gt;="&amp;$D$1-$E8*SQRT($F$1),$B$12:$B$1011,"&lt;="&amp;$D$1+$E8*SQRT($F$1))/COUNT($B$12:$B$1011),"")</f>
        <v>0.999</v>
      </c>
      <c r="H8" s="75"/>
      <c r="I8" s="74">
        <f ca="1">IF(ISNUMBER(C14),COUNTIFS($C$12:$C$1011,"&gt;="&amp;$D$2-$E8*SQRT($F$2),$C$12:$C$1011,"&lt;="&amp;$D$2+$E8*SQRT($F$2))/COUNT($C$12:$C$1011),"")</f>
        <v>0.998</v>
      </c>
      <c r="J8" s="75"/>
      <c r="K8" s="27"/>
      <c r="L8" s="28"/>
      <c r="M8" s="28"/>
      <c r="N8" s="29"/>
    </row>
    <row r="9" spans="1:23" ht="14.4" x14ac:dyDescent="0.3">
      <c r="A9" s="57" t="s">
        <v>37</v>
      </c>
      <c r="B9" s="32">
        <f ca="1">IF(ISNUMBER(B12),MIN(B12:B1011),"")</f>
        <v>3.6249719052170679</v>
      </c>
      <c r="C9" s="20">
        <f ca="1">IF(ISNUMBER(B12),MIN(C12:C1011),"")</f>
        <v>3.7119041453371162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7" t="s">
        <v>38</v>
      </c>
      <c r="B10" s="19">
        <f ca="1">IF(ISNUMBER(B12),MAX(B12:B1011),"")</f>
        <v>15.984426155391821</v>
      </c>
      <c r="C10" s="33">
        <f ca="1">IF(ISNUMBER(B12),MAX(C12:C1011),"")</f>
        <v>17.31749159699477</v>
      </c>
      <c r="D10" s="58" t="s">
        <v>20</v>
      </c>
    </row>
    <row r="11" spans="1:23" ht="27.6" x14ac:dyDescent="0.25">
      <c r="A11" s="69" t="s">
        <v>41</v>
      </c>
      <c r="B11" s="70" t="s">
        <v>19</v>
      </c>
      <c r="C11" s="64" t="s">
        <v>39</v>
      </c>
      <c r="D11" s="71">
        <f>IF(AND(ISNUMBER(D1),F1&gt;0),1,"")</f>
        <v>1</v>
      </c>
      <c r="E11" s="71" t="str">
        <f>IF(D11&lt;$H$1,D11+1,"")</f>
        <v/>
      </c>
      <c r="F11" s="71" t="str">
        <f>IF(E11&lt;$H$1,E11+1,"")</f>
        <v/>
      </c>
      <c r="G11" s="71" t="str">
        <f>IF(F11&lt;$H$1,F11+1,"")</f>
        <v/>
      </c>
      <c r="H11" s="71" t="str">
        <f>IF(G11&lt;$H$1,G11+1,"")</f>
        <v/>
      </c>
      <c r="I11" s="71" t="str">
        <f t="shared" ref="I11:W11" si="0">IF(H11&lt;$H$1,H11+1,"")</f>
        <v/>
      </c>
      <c r="J11" s="71" t="str">
        <f t="shared" si="0"/>
        <v/>
      </c>
      <c r="K11" s="71" t="str">
        <f t="shared" si="0"/>
        <v/>
      </c>
      <c r="L11" s="71" t="str">
        <f t="shared" si="0"/>
        <v/>
      </c>
      <c r="M11" s="71" t="str">
        <f t="shared" si="0"/>
        <v/>
      </c>
      <c r="N11" s="71" t="str">
        <f t="shared" si="0"/>
        <v/>
      </c>
      <c r="O11" s="71" t="str">
        <f t="shared" si="0"/>
        <v/>
      </c>
      <c r="P11" s="71" t="str">
        <f t="shared" si="0"/>
        <v/>
      </c>
      <c r="Q11" s="71" t="str">
        <f t="shared" si="0"/>
        <v/>
      </c>
      <c r="R11" s="71" t="str">
        <f t="shared" si="0"/>
        <v/>
      </c>
      <c r="S11" s="71" t="str">
        <f t="shared" si="0"/>
        <v/>
      </c>
      <c r="T11" s="71" t="str">
        <f t="shared" si="0"/>
        <v/>
      </c>
      <c r="U11" s="71" t="str">
        <f t="shared" si="0"/>
        <v/>
      </c>
      <c r="V11" s="71" t="str">
        <f t="shared" si="0"/>
        <v/>
      </c>
      <c r="W11" s="71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14.379411163365685</v>
      </c>
      <c r="C12" s="20">
        <f ca="1">IF(AND($H$1&gt;=1,ISNUMBER(D12)),AVERAGE(D12:W12),"")</f>
        <v>11.331083012395537</v>
      </c>
      <c r="D12" s="21">
        <f t="shared" ref="D12:G31" ca="1" si="1">IF(AND(ISNUMBER($D$1),$F$1&gt;0,ISNUMBER(D$11),D$11&lt;=$H$1),_xlfn.NORM.INV(RAND(),$D$1,SQRT($F$1)),"")</f>
        <v>11.331083012395537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8.433047106603107</v>
      </c>
      <c r="C13" s="20">
        <f t="shared" ref="C13:C76" ca="1" si="4">IF(AND($H$1&gt;=1,ISNUMBER(D13)),AVERAGE(D13:W13),"")</f>
        <v>13.360115490538377</v>
      </c>
      <c r="D13" s="21">
        <f t="shared" ca="1" si="1"/>
        <v>13.360115490538377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10.164822964405863</v>
      </c>
      <c r="C14" s="20">
        <f t="shared" ca="1" si="4"/>
        <v>10.227560223997994</v>
      </c>
      <c r="D14" s="21">
        <f t="shared" ca="1" si="1"/>
        <v>10.227560223997994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10.007840315241246</v>
      </c>
      <c r="C15" s="20">
        <f t="shared" ca="1" si="4"/>
        <v>10.623875498312918</v>
      </c>
      <c r="D15" s="21">
        <f t="shared" ca="1" si="1"/>
        <v>10.623875498312918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11.573460110051281</v>
      </c>
      <c r="C16" s="20">
        <f t="shared" ca="1" si="4"/>
        <v>8.3979328211736206</v>
      </c>
      <c r="D16" s="21">
        <f t="shared" ca="1" si="1"/>
        <v>8.3979328211736206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9.4131528704480854</v>
      </c>
      <c r="C17" s="20">
        <f t="shared" ca="1" si="4"/>
        <v>8.673050955979388</v>
      </c>
      <c r="D17" s="21">
        <f t="shared" ca="1" si="1"/>
        <v>8.673050955979388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6.3368283289521177</v>
      </c>
      <c r="C18" s="20">
        <f t="shared" ca="1" si="4"/>
        <v>7.1180030630461264</v>
      </c>
      <c r="D18" s="21">
        <f t="shared" ca="1" si="1"/>
        <v>7.1180030630461264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10.782070339232224</v>
      </c>
      <c r="C19" s="20">
        <f t="shared" ca="1" si="4"/>
        <v>11.03175406505928</v>
      </c>
      <c r="D19" s="21">
        <f t="shared" ca="1" si="1"/>
        <v>11.03175406505928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8.7917475920051569</v>
      </c>
      <c r="C20" s="20">
        <f t="shared" ca="1" si="4"/>
        <v>8.3152852670009825</v>
      </c>
      <c r="D20" s="21">
        <f t="shared" ca="1" si="1"/>
        <v>8.3152852670009825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8.212878242227859</v>
      </c>
      <c r="C21" s="20">
        <f t="shared" ca="1" si="4"/>
        <v>11.552295251902171</v>
      </c>
      <c r="D21" s="21">
        <f t="shared" ca="1" si="1"/>
        <v>11.552295251902171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7.954859715995239</v>
      </c>
      <c r="C22" s="20">
        <f t="shared" ca="1" si="4"/>
        <v>10.280139492046461</v>
      </c>
      <c r="D22" s="21">
        <f t="shared" ca="1" si="1"/>
        <v>10.280139492046461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13.103793172378708</v>
      </c>
      <c r="C23" s="20">
        <f t="shared" ca="1" si="4"/>
        <v>8.323703812416861</v>
      </c>
      <c r="D23" s="21">
        <f t="shared" ca="1" si="1"/>
        <v>8.323703812416861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12.102152675876269</v>
      </c>
      <c r="C24" s="20">
        <f t="shared" ca="1" si="4"/>
        <v>10.136425928950455</v>
      </c>
      <c r="D24" s="21">
        <f t="shared" ca="1" si="1"/>
        <v>10.136425928950455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9.2130056030541585</v>
      </c>
      <c r="C25" s="20">
        <f t="shared" ca="1" si="4"/>
        <v>13.157736735146585</v>
      </c>
      <c r="D25" s="21">
        <f t="shared" ca="1" si="1"/>
        <v>13.157736735146585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10.655300105490991</v>
      </c>
      <c r="C26" s="20">
        <f t="shared" ca="1" si="4"/>
        <v>10.797556926862198</v>
      </c>
      <c r="D26" s="21">
        <f t="shared" ca="1" si="1"/>
        <v>10.797556926862198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10.587691479029031</v>
      </c>
      <c r="C27" s="20">
        <f t="shared" ca="1" si="4"/>
        <v>10.086403419732116</v>
      </c>
      <c r="D27" s="21">
        <f t="shared" ca="1" si="1"/>
        <v>10.086403419732116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10.704240285122065</v>
      </c>
      <c r="C28" s="20">
        <f t="shared" ca="1" si="4"/>
        <v>13.690240897072634</v>
      </c>
      <c r="D28" s="21">
        <f t="shared" ca="1" si="1"/>
        <v>13.690240897072634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8.6784866107389629</v>
      </c>
      <c r="C29" s="20">
        <f t="shared" ca="1" si="4"/>
        <v>12.456992775675468</v>
      </c>
      <c r="D29" s="21">
        <f t="shared" ca="1" si="1"/>
        <v>12.456992775675468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10.416821111341353</v>
      </c>
      <c r="C30" s="20">
        <f t="shared" ca="1" si="4"/>
        <v>10.177660321923431</v>
      </c>
      <c r="D30" s="21">
        <f t="shared" ca="1" si="1"/>
        <v>10.177660321923431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12.336375858774847</v>
      </c>
      <c r="C31" s="20">
        <f t="shared" ca="1" si="4"/>
        <v>7.0016172374033996</v>
      </c>
      <c r="D31" s="21">
        <f t="shared" ca="1" si="1"/>
        <v>7.0016172374033996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8.4547191223375009</v>
      </c>
      <c r="C32" s="20">
        <f t="shared" ca="1" si="4"/>
        <v>7.8011768666588122</v>
      </c>
      <c r="D32" s="21">
        <f t="shared" ref="D32:G51" ca="1" si="6">IF(AND(ISNUMBER($D$1),$F$1&gt;0,ISNUMBER(D$11),D$11&lt;=$H$1),_xlfn.NORM.INV(RAND(),$D$1,SQRT($F$1)),"")</f>
        <v>7.8011768666588122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9.9833248206929639</v>
      </c>
      <c r="C33" s="20">
        <f t="shared" ca="1" si="4"/>
        <v>9.6271211770805181</v>
      </c>
      <c r="D33" s="21">
        <f t="shared" ca="1" si="6"/>
        <v>9.6271211770805181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9.031620062881732</v>
      </c>
      <c r="C34" s="20">
        <f t="shared" ca="1" si="4"/>
        <v>10.792823844463255</v>
      </c>
      <c r="D34" s="21">
        <f t="shared" ca="1" si="6"/>
        <v>10.792823844463255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10.184131598952122</v>
      </c>
      <c r="C35" s="20">
        <f t="shared" ca="1" si="4"/>
        <v>12.337463028139286</v>
      </c>
      <c r="D35" s="21">
        <f t="shared" ca="1" si="6"/>
        <v>12.337463028139286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5.7467900606118416</v>
      </c>
      <c r="C36" s="20">
        <f t="shared" ca="1" si="4"/>
        <v>7.9191957068938006</v>
      </c>
      <c r="D36" s="21">
        <f t="shared" ca="1" si="6"/>
        <v>7.9191957068938006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7.4492429161859359</v>
      </c>
      <c r="C37" s="20">
        <f t="shared" ca="1" si="4"/>
        <v>12.294881448029091</v>
      </c>
      <c r="D37" s="21">
        <f t="shared" ca="1" si="6"/>
        <v>12.294881448029091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7.7276956616585046</v>
      </c>
      <c r="C38" s="20">
        <f t="shared" ca="1" si="4"/>
        <v>11.220832034883392</v>
      </c>
      <c r="D38" s="21">
        <f t="shared" ca="1" si="6"/>
        <v>11.220832034883392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8.7581928770495381</v>
      </c>
      <c r="C39" s="20">
        <f t="shared" ca="1" si="4"/>
        <v>8.2651327124587173</v>
      </c>
      <c r="D39" s="21">
        <f t="shared" ca="1" si="6"/>
        <v>8.2651327124587173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8.0094948896435749</v>
      </c>
      <c r="C40" s="20">
        <f t="shared" ca="1" si="4"/>
        <v>7.829157614407217</v>
      </c>
      <c r="D40" s="21">
        <f t="shared" ca="1" si="6"/>
        <v>7.829157614407217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11.312586572553748</v>
      </c>
      <c r="C41" s="20">
        <f t="shared" ca="1" si="4"/>
        <v>7.8436558512452752</v>
      </c>
      <c r="D41" s="21">
        <f t="shared" ca="1" si="6"/>
        <v>7.8436558512452752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11.199382473591667</v>
      </c>
      <c r="C42" s="20">
        <f t="shared" ca="1" si="4"/>
        <v>10.111915356637123</v>
      </c>
      <c r="D42" s="21">
        <f t="shared" ca="1" si="6"/>
        <v>10.111915356637123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10.426846693378472</v>
      </c>
      <c r="C43" s="20">
        <f t="shared" ca="1" si="4"/>
        <v>8.0300964449458725</v>
      </c>
      <c r="D43" s="21">
        <f t="shared" ca="1" si="6"/>
        <v>8.0300964449458725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6.7283179636745576</v>
      </c>
      <c r="C44" s="20">
        <f t="shared" ca="1" si="4"/>
        <v>7.0884839489366129</v>
      </c>
      <c r="D44" s="21">
        <f t="shared" ca="1" si="6"/>
        <v>7.0884839489366129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6.3542173947001777</v>
      </c>
      <c r="C45" s="20">
        <f t="shared" ca="1" si="4"/>
        <v>11.322214603826222</v>
      </c>
      <c r="D45" s="21">
        <f t="shared" ca="1" si="6"/>
        <v>11.322214603826222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9.4039182508294719</v>
      </c>
      <c r="C46" s="20">
        <f t="shared" ca="1" si="4"/>
        <v>10.890345501304139</v>
      </c>
      <c r="D46" s="21">
        <f t="shared" ca="1" si="6"/>
        <v>10.890345501304139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11.268799226825257</v>
      </c>
      <c r="C47" s="20">
        <f t="shared" ca="1" si="4"/>
        <v>8.2360037419637049</v>
      </c>
      <c r="D47" s="21">
        <f t="shared" ca="1" si="6"/>
        <v>8.2360037419637049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8.861873844348839</v>
      </c>
      <c r="C48" s="20">
        <f t="shared" ca="1" si="4"/>
        <v>9.4777601820467154</v>
      </c>
      <c r="D48" s="21">
        <f t="shared" ca="1" si="6"/>
        <v>9.4777601820467154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9.7916118443084343</v>
      </c>
      <c r="C49" s="20">
        <f t="shared" ca="1" si="4"/>
        <v>10.393081732960844</v>
      </c>
      <c r="D49" s="21">
        <f t="shared" ca="1" si="6"/>
        <v>10.393081732960844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11.421267963784135</v>
      </c>
      <c r="C50" s="20">
        <f t="shared" ca="1" si="4"/>
        <v>11.076960172086261</v>
      </c>
      <c r="D50" s="21">
        <f t="shared" ca="1" si="6"/>
        <v>11.076960172086261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8.4815591988313237</v>
      </c>
      <c r="C51" s="20">
        <f t="shared" ca="1" si="4"/>
        <v>11.313975483507862</v>
      </c>
      <c r="D51" s="21">
        <f t="shared" ca="1" si="6"/>
        <v>11.313975483507862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11.380868660404245</v>
      </c>
      <c r="C52" s="20">
        <f t="shared" ca="1" si="4"/>
        <v>9.9137312092079828</v>
      </c>
      <c r="D52" s="21">
        <f t="shared" ref="D52:G71" ca="1" si="9">IF(AND(ISNUMBER($D$1),$F$1&gt;0,ISNUMBER(D$11),D$11&lt;=$H$1),_xlfn.NORM.INV(RAND(),$D$1,SQRT($F$1)),"")</f>
        <v>9.9137312092079828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7.5708195120159525</v>
      </c>
      <c r="C53" s="20">
        <f t="shared" ca="1" si="4"/>
        <v>7.1669524610112916</v>
      </c>
      <c r="D53" s="21">
        <f t="shared" ca="1" si="9"/>
        <v>7.1669524610112916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7.9674169808802606</v>
      </c>
      <c r="C54" s="20">
        <f t="shared" ca="1" si="4"/>
        <v>12.096725194143787</v>
      </c>
      <c r="D54" s="21">
        <f t="shared" ca="1" si="9"/>
        <v>12.096725194143787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8.8811079200003373</v>
      </c>
      <c r="C55" s="20">
        <f t="shared" ca="1" si="4"/>
        <v>8.4045552725018311</v>
      </c>
      <c r="D55" s="21">
        <f t="shared" ca="1" si="9"/>
        <v>8.4045552725018311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9.9776806946189787</v>
      </c>
      <c r="C56" s="20">
        <f t="shared" ca="1" si="4"/>
        <v>10.552852230566661</v>
      </c>
      <c r="D56" s="21">
        <f t="shared" ca="1" si="9"/>
        <v>10.552852230566661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9.8805236596175821</v>
      </c>
      <c r="C57" s="20">
        <f t="shared" ca="1" si="4"/>
        <v>10.941036242303722</v>
      </c>
      <c r="D57" s="21">
        <f t="shared" ca="1" si="9"/>
        <v>10.941036242303722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14.823586553552172</v>
      </c>
      <c r="C58" s="20">
        <f t="shared" ca="1" si="4"/>
        <v>12.396565084182736</v>
      </c>
      <c r="D58" s="21">
        <f t="shared" ca="1" si="9"/>
        <v>12.396565084182736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8.8992707143020269</v>
      </c>
      <c r="C59" s="20">
        <f t="shared" ca="1" si="4"/>
        <v>11.748675653283046</v>
      </c>
      <c r="D59" s="21">
        <f t="shared" ca="1" si="9"/>
        <v>11.748675653283046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7.9901693409139671</v>
      </c>
      <c r="C60" s="20">
        <f t="shared" ca="1" si="4"/>
        <v>9.0417105216057863</v>
      </c>
      <c r="D60" s="21">
        <f t="shared" ca="1" si="9"/>
        <v>9.0417105216057863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10.589243148641041</v>
      </c>
      <c r="C61" s="20">
        <f t="shared" ca="1" si="4"/>
        <v>9.8162279290651977</v>
      </c>
      <c r="D61" s="21">
        <f t="shared" ca="1" si="9"/>
        <v>9.8162279290651977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12.979388918709795</v>
      </c>
      <c r="C62" s="20">
        <f t="shared" ca="1" si="4"/>
        <v>5.8889369189343039</v>
      </c>
      <c r="D62" s="21">
        <f t="shared" ca="1" si="9"/>
        <v>5.8889369189343039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12.809028992800467</v>
      </c>
      <c r="C63" s="20">
        <f t="shared" ca="1" si="4"/>
        <v>6.57825375058367</v>
      </c>
      <c r="D63" s="21">
        <f t="shared" ca="1" si="9"/>
        <v>6.57825375058367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8.9559412227768007</v>
      </c>
      <c r="C64" s="20">
        <f t="shared" ca="1" si="4"/>
        <v>11.500423402178246</v>
      </c>
      <c r="D64" s="21">
        <f t="shared" ca="1" si="9"/>
        <v>11.500423402178246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7.4578130602833799</v>
      </c>
      <c r="C65" s="20">
        <f t="shared" ca="1" si="4"/>
        <v>6.6662012928066829</v>
      </c>
      <c r="D65" s="21">
        <f t="shared" ca="1" si="9"/>
        <v>6.6662012928066829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9.7638036684231295</v>
      </c>
      <c r="C66" s="20">
        <f t="shared" ca="1" si="4"/>
        <v>11.22421703314815</v>
      </c>
      <c r="D66" s="21">
        <f t="shared" ca="1" si="9"/>
        <v>11.22421703314815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9.3984410973719115</v>
      </c>
      <c r="C67" s="20">
        <f t="shared" ca="1" si="4"/>
        <v>11.572353043364576</v>
      </c>
      <c r="D67" s="21">
        <f t="shared" ca="1" si="9"/>
        <v>11.572353043364576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10.433767152511621</v>
      </c>
      <c r="C68" s="20">
        <f t="shared" ca="1" si="4"/>
        <v>11.407577102564089</v>
      </c>
      <c r="D68" s="21">
        <f t="shared" ca="1" si="9"/>
        <v>11.407577102564089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6.0653165109142959</v>
      </c>
      <c r="C69" s="20">
        <f t="shared" ca="1" si="4"/>
        <v>7.8364362370214966</v>
      </c>
      <c r="D69" s="21">
        <f t="shared" ca="1" si="9"/>
        <v>7.8364362370214966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11.540028390847134</v>
      </c>
      <c r="C70" s="20">
        <f t="shared" ca="1" si="4"/>
        <v>9.2049727914982586</v>
      </c>
      <c r="D70" s="21">
        <f t="shared" ca="1" si="9"/>
        <v>9.2049727914982586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13.097773413078331</v>
      </c>
      <c r="C71" s="20">
        <f t="shared" ca="1" si="4"/>
        <v>12.741304301813063</v>
      </c>
      <c r="D71" s="21">
        <f t="shared" ca="1" si="9"/>
        <v>12.741304301813063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9.6832604949761816</v>
      </c>
      <c r="C72" s="20">
        <f t="shared" ca="1" si="4"/>
        <v>12.367295109313979</v>
      </c>
      <c r="D72" s="21">
        <f t="shared" ref="D72:G91" ca="1" si="12">IF(AND(ISNUMBER($D$1),$F$1&gt;0,ISNUMBER(D$11),D$11&lt;=$H$1),_xlfn.NORM.INV(RAND(),$D$1,SQRT($F$1)),"")</f>
        <v>12.367295109313979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7.6759881848090714</v>
      </c>
      <c r="C73" s="20">
        <f t="shared" ca="1" si="4"/>
        <v>11.272984801594292</v>
      </c>
      <c r="D73" s="21">
        <f t="shared" ca="1" si="12"/>
        <v>11.272984801594292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9.148858249798911</v>
      </c>
      <c r="C74" s="20">
        <f t="shared" ca="1" si="4"/>
        <v>15.803716777792332</v>
      </c>
      <c r="D74" s="21">
        <f t="shared" ca="1" si="12"/>
        <v>15.803716777792332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11.035084312680572</v>
      </c>
      <c r="C75" s="20">
        <f t="shared" ca="1" si="4"/>
        <v>10.727382178901312</v>
      </c>
      <c r="D75" s="21">
        <f t="shared" ca="1" si="12"/>
        <v>10.727382178901312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10.243344865301486</v>
      </c>
      <c r="C76" s="20">
        <f t="shared" ca="1" si="4"/>
        <v>10.059646357145116</v>
      </c>
      <c r="D76" s="21">
        <f t="shared" ca="1" si="12"/>
        <v>10.059646357145116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10.57289744654403</v>
      </c>
      <c r="C77" s="20">
        <f t="shared" ref="C77:C140" ca="1" si="15">IF(AND($H$1&gt;=1,ISNUMBER(D77)),AVERAGE(D77:W77),"")</f>
        <v>11.597062632683432</v>
      </c>
      <c r="D77" s="21">
        <f t="shared" ca="1" si="12"/>
        <v>11.597062632683432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6.6893629361238993</v>
      </c>
      <c r="C78" s="20">
        <f t="shared" ca="1" si="15"/>
        <v>11.671943651381431</v>
      </c>
      <c r="D78" s="21">
        <f t="shared" ca="1" si="12"/>
        <v>11.671943651381431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9.4258833126706847</v>
      </c>
      <c r="C79" s="20">
        <f t="shared" ca="1" si="15"/>
        <v>11.690573301500098</v>
      </c>
      <c r="D79" s="21">
        <f t="shared" ca="1" si="12"/>
        <v>11.690573301500098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9.5136847309472383</v>
      </c>
      <c r="C80" s="20">
        <f t="shared" ca="1" si="15"/>
        <v>12.117967749547912</v>
      </c>
      <c r="D80" s="21">
        <f t="shared" ca="1" si="12"/>
        <v>12.117967749547912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11.421086369947416</v>
      </c>
      <c r="C81" s="20">
        <f t="shared" ca="1" si="15"/>
        <v>11.29051715596535</v>
      </c>
      <c r="D81" s="21">
        <f t="shared" ca="1" si="12"/>
        <v>11.29051715596535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9.6363186457924215</v>
      </c>
      <c r="C82" s="20">
        <f t="shared" ca="1" si="15"/>
        <v>5.4250224852710325</v>
      </c>
      <c r="D82" s="21">
        <f t="shared" ca="1" si="12"/>
        <v>5.4250224852710325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10.260644722714504</v>
      </c>
      <c r="C83" s="20">
        <f t="shared" ca="1" si="15"/>
        <v>12.012693963885258</v>
      </c>
      <c r="D83" s="21">
        <f t="shared" ca="1" si="12"/>
        <v>12.012693963885258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8.1398629608782187</v>
      </c>
      <c r="C84" s="20">
        <f t="shared" ca="1" si="15"/>
        <v>10.216200825032043</v>
      </c>
      <c r="D84" s="21">
        <f t="shared" ca="1" si="12"/>
        <v>10.216200825032043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7.9245333795923258</v>
      </c>
      <c r="C85" s="20">
        <f t="shared" ca="1" si="15"/>
        <v>9.7973496006272516</v>
      </c>
      <c r="D85" s="21">
        <f t="shared" ca="1" si="12"/>
        <v>9.7973496006272516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8.0750430626593168</v>
      </c>
      <c r="C86" s="20">
        <f t="shared" ca="1" si="15"/>
        <v>10.570860345739135</v>
      </c>
      <c r="D86" s="21">
        <f t="shared" ca="1" si="12"/>
        <v>10.570860345739135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11.165614538959961</v>
      </c>
      <c r="C87" s="20">
        <f t="shared" ca="1" si="15"/>
        <v>14.422668676330879</v>
      </c>
      <c r="D87" s="21">
        <f t="shared" ca="1" si="12"/>
        <v>14.422668676330879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13.315589287540128</v>
      </c>
      <c r="C88" s="20">
        <f t="shared" ca="1" si="15"/>
        <v>13.004636400835009</v>
      </c>
      <c r="D88" s="21">
        <f t="shared" ca="1" si="12"/>
        <v>13.004636400835009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12.408794890114697</v>
      </c>
      <c r="C89" s="20">
        <f t="shared" ca="1" si="15"/>
        <v>17.31749159699477</v>
      </c>
      <c r="D89" s="21">
        <f t="shared" ca="1" si="12"/>
        <v>17.31749159699477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9.6118103960681207</v>
      </c>
      <c r="C90" s="20">
        <f t="shared" ca="1" si="15"/>
        <v>10.377620762118836</v>
      </c>
      <c r="D90" s="21">
        <f t="shared" ca="1" si="12"/>
        <v>10.377620762118836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12.36933667944864</v>
      </c>
      <c r="C91" s="20">
        <f t="shared" ca="1" si="15"/>
        <v>11.21379781440657</v>
      </c>
      <c r="D91" s="21">
        <f t="shared" ca="1" si="12"/>
        <v>11.21379781440657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11.66559919459951</v>
      </c>
      <c r="C92" s="20">
        <f t="shared" ca="1" si="15"/>
        <v>10.16427629387363</v>
      </c>
      <c r="D92" s="21">
        <f t="shared" ref="D92:G111" ca="1" si="17">IF(AND(ISNUMBER($D$1),$F$1&gt;0,ISNUMBER(D$11),D$11&lt;=$H$1),_xlfn.NORM.INV(RAND(),$D$1,SQRT($F$1)),"")</f>
        <v>10.16427629387363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10.302734948551423</v>
      </c>
      <c r="C93" s="20">
        <f t="shared" ca="1" si="15"/>
        <v>9.6110973095544647</v>
      </c>
      <c r="D93" s="21">
        <f t="shared" ca="1" si="17"/>
        <v>9.6110973095544647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9.1261590143956752</v>
      </c>
      <c r="C94" s="20">
        <f t="shared" ca="1" si="15"/>
        <v>8.3826448610558071</v>
      </c>
      <c r="D94" s="21">
        <f t="shared" ca="1" si="17"/>
        <v>8.3826448610558071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13.086543069315958</v>
      </c>
      <c r="C95" s="20">
        <f t="shared" ca="1" si="15"/>
        <v>15.244276585179271</v>
      </c>
      <c r="D95" s="21">
        <f t="shared" ca="1" si="17"/>
        <v>15.244276585179271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8.2458493848404579</v>
      </c>
      <c r="C96" s="20">
        <f t="shared" ca="1" si="15"/>
        <v>8.6255570487951196</v>
      </c>
      <c r="D96" s="21">
        <f t="shared" ca="1" si="17"/>
        <v>8.6255570487951196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6.9749076173251829</v>
      </c>
      <c r="C97" s="20">
        <f t="shared" ca="1" si="15"/>
        <v>12.554009470818961</v>
      </c>
      <c r="D97" s="21">
        <f t="shared" ca="1" si="17"/>
        <v>12.554009470818961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9.9411868933744021</v>
      </c>
      <c r="C98" s="20">
        <f t="shared" ca="1" si="15"/>
        <v>13.098853245343616</v>
      </c>
      <c r="D98" s="21">
        <f t="shared" ca="1" si="17"/>
        <v>13.098853245343616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13.375610010946652</v>
      </c>
      <c r="C99" s="20">
        <f t="shared" ca="1" si="15"/>
        <v>9.629685466391134</v>
      </c>
      <c r="D99" s="21">
        <f t="shared" ca="1" si="17"/>
        <v>9.629685466391134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8.2211713813137255</v>
      </c>
      <c r="C100" s="20">
        <f t="shared" ca="1" si="15"/>
        <v>9.5044296513129627</v>
      </c>
      <c r="D100" s="21">
        <f t="shared" ca="1" si="17"/>
        <v>9.5044296513129627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5.945137205563376</v>
      </c>
      <c r="C101" s="20">
        <f t="shared" ca="1" si="15"/>
        <v>9.0733541415748622</v>
      </c>
      <c r="D101" s="21">
        <f t="shared" ca="1" si="17"/>
        <v>9.0733541415748622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6.9886544413860801</v>
      </c>
      <c r="C102" s="20">
        <f t="shared" ca="1" si="15"/>
        <v>11.598049456795902</v>
      </c>
      <c r="D102" s="21">
        <f t="shared" ca="1" si="17"/>
        <v>11.598049456795902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9.0719831875343395</v>
      </c>
      <c r="C103" s="20">
        <f t="shared" ca="1" si="15"/>
        <v>12.14712754714539</v>
      </c>
      <c r="D103" s="21">
        <f t="shared" ca="1" si="17"/>
        <v>12.14712754714539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10.067745334015724</v>
      </c>
      <c r="C104" s="20">
        <f t="shared" ca="1" si="15"/>
        <v>11.590603205861461</v>
      </c>
      <c r="D104" s="21">
        <f t="shared" ca="1" si="17"/>
        <v>11.590603205861461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9.1724199477256185</v>
      </c>
      <c r="C105" s="20">
        <f t="shared" ca="1" si="15"/>
        <v>9.7883174167459508</v>
      </c>
      <c r="D105" s="21">
        <f t="shared" ca="1" si="17"/>
        <v>9.7883174167459508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11.484635957236511</v>
      </c>
      <c r="C106" s="20">
        <f t="shared" ca="1" si="15"/>
        <v>8.7683072164613556</v>
      </c>
      <c r="D106" s="21">
        <f t="shared" ca="1" si="17"/>
        <v>8.7683072164613556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13.795577178584875</v>
      </c>
      <c r="C107" s="20">
        <f t="shared" ca="1" si="15"/>
        <v>11.026976106424442</v>
      </c>
      <c r="D107" s="21">
        <f t="shared" ca="1" si="17"/>
        <v>11.026976106424442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9.2658068302250456</v>
      </c>
      <c r="C108" s="20">
        <f t="shared" ca="1" si="15"/>
        <v>8.1968743152206027</v>
      </c>
      <c r="D108" s="21">
        <f t="shared" ca="1" si="17"/>
        <v>8.1968743152206027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4.6697543272244664</v>
      </c>
      <c r="C109" s="20">
        <f t="shared" ca="1" si="15"/>
        <v>13.018285226913633</v>
      </c>
      <c r="D109" s="21">
        <f t="shared" ca="1" si="17"/>
        <v>13.018285226913633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11.328619112701027</v>
      </c>
      <c r="C110" s="20">
        <f t="shared" ca="1" si="15"/>
        <v>8.3299843382222942</v>
      </c>
      <c r="D110" s="21">
        <f t="shared" ca="1" si="17"/>
        <v>8.3299843382222942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10.563590458662434</v>
      </c>
      <c r="C111" s="20">
        <f t="shared" ca="1" si="15"/>
        <v>6.2703137434232215</v>
      </c>
      <c r="D111" s="21">
        <f t="shared" ca="1" si="17"/>
        <v>6.2703137434232215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10.668173160997849</v>
      </c>
      <c r="C112" s="20">
        <f t="shared" ca="1" si="15"/>
        <v>7.7183781380956749</v>
      </c>
      <c r="D112" s="21">
        <f t="shared" ref="D112:G131" ca="1" si="20">IF(AND(ISNUMBER($D$1),$F$1&gt;0,ISNUMBER(D$11),D$11&lt;=$H$1),_xlfn.NORM.INV(RAND(),$D$1,SQRT($F$1)),"")</f>
        <v>7.7183781380956749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11.194755368242429</v>
      </c>
      <c r="C113" s="20">
        <f t="shared" ca="1" si="15"/>
        <v>13.088404757893326</v>
      </c>
      <c r="D113" s="21">
        <f t="shared" ca="1" si="20"/>
        <v>13.088404757893326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10.166470383524317</v>
      </c>
      <c r="C114" s="20">
        <f t="shared" ca="1" si="15"/>
        <v>7.1121450943746591</v>
      </c>
      <c r="D114" s="21">
        <f t="shared" ca="1" si="20"/>
        <v>7.1121450943746591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10.307633476730574</v>
      </c>
      <c r="C115" s="20">
        <f t="shared" ca="1" si="15"/>
        <v>10.556421961084498</v>
      </c>
      <c r="D115" s="21">
        <f t="shared" ca="1" si="20"/>
        <v>10.556421961084498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9.1109312027663574</v>
      </c>
      <c r="C116" s="20">
        <f t="shared" ca="1" si="15"/>
        <v>7.6357393519658743</v>
      </c>
      <c r="D116" s="21">
        <f t="shared" ca="1" si="20"/>
        <v>7.6357393519658743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7.4779358180831208</v>
      </c>
      <c r="C117" s="20">
        <f t="shared" ca="1" si="15"/>
        <v>8.2283167058275808</v>
      </c>
      <c r="D117" s="21">
        <f t="shared" ca="1" si="20"/>
        <v>8.2283167058275808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8.5020009890087689</v>
      </c>
      <c r="C118" s="20">
        <f t="shared" ca="1" si="15"/>
        <v>9.901283460881487</v>
      </c>
      <c r="D118" s="21">
        <f t="shared" ca="1" si="20"/>
        <v>9.901283460881487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10.553428358216099</v>
      </c>
      <c r="C119" s="20">
        <f t="shared" ca="1" si="15"/>
        <v>13.544277456678373</v>
      </c>
      <c r="D119" s="21">
        <f t="shared" ca="1" si="20"/>
        <v>13.544277456678373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14.285645590671542</v>
      </c>
      <c r="C120" s="20">
        <f t="shared" ca="1" si="15"/>
        <v>8.6383849790897038</v>
      </c>
      <c r="D120" s="21">
        <f t="shared" ca="1" si="20"/>
        <v>8.6383849790897038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9.9558295747083978</v>
      </c>
      <c r="C121" s="20">
        <f t="shared" ca="1" si="15"/>
        <v>8.0944286769885583</v>
      </c>
      <c r="D121" s="21">
        <f t="shared" ca="1" si="20"/>
        <v>8.0944286769885583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13.023176563229516</v>
      </c>
      <c r="C122" s="20">
        <f t="shared" ca="1" si="15"/>
        <v>11.21407762911984</v>
      </c>
      <c r="D122" s="21">
        <f t="shared" ca="1" si="20"/>
        <v>11.21407762911984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8.8662525690160159</v>
      </c>
      <c r="C123" s="20">
        <f t="shared" ca="1" si="15"/>
        <v>8.8372547429130091</v>
      </c>
      <c r="D123" s="21">
        <f t="shared" ca="1" si="20"/>
        <v>8.8372547429130091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10.445932779686556</v>
      </c>
      <c r="C124" s="20">
        <f t="shared" ca="1" si="15"/>
        <v>10.677715003806076</v>
      </c>
      <c r="D124" s="21">
        <f t="shared" ca="1" si="20"/>
        <v>10.677715003806076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7.3319986691535295</v>
      </c>
      <c r="C125" s="20">
        <f t="shared" ca="1" si="15"/>
        <v>12.573462052422842</v>
      </c>
      <c r="D125" s="21">
        <f t="shared" ca="1" si="20"/>
        <v>12.573462052422842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7.6877229560720846</v>
      </c>
      <c r="C126" s="20">
        <f t="shared" ca="1" si="15"/>
        <v>8.8906271746920424</v>
      </c>
      <c r="D126" s="21">
        <f t="shared" ca="1" si="20"/>
        <v>8.8906271746920424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11.787316418914388</v>
      </c>
      <c r="C127" s="20">
        <f t="shared" ca="1" si="15"/>
        <v>10.224832203438945</v>
      </c>
      <c r="D127" s="21">
        <f t="shared" ca="1" si="20"/>
        <v>10.224832203438945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10.569302801491737</v>
      </c>
      <c r="C128" s="20">
        <f t="shared" ca="1" si="15"/>
        <v>11.701239946050821</v>
      </c>
      <c r="D128" s="21">
        <f t="shared" ca="1" si="20"/>
        <v>11.701239946050821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11.493452635242036</v>
      </c>
      <c r="C129" s="20">
        <f t="shared" ca="1" si="15"/>
        <v>10.43286408895518</v>
      </c>
      <c r="D129" s="21">
        <f t="shared" ca="1" si="20"/>
        <v>10.43286408895518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12.228849766363304</v>
      </c>
      <c r="C130" s="20">
        <f t="shared" ca="1" si="15"/>
        <v>9.5408291656387405</v>
      </c>
      <c r="D130" s="21">
        <f t="shared" ca="1" si="20"/>
        <v>9.5408291656387405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8.7135203251408271</v>
      </c>
      <c r="C131" s="20">
        <f t="shared" ca="1" si="15"/>
        <v>6.4046235862214367</v>
      </c>
      <c r="D131" s="21">
        <f t="shared" ca="1" si="20"/>
        <v>6.4046235862214367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10.492090353440584</v>
      </c>
      <c r="C132" s="20">
        <f t="shared" ca="1" si="15"/>
        <v>10.923233219434604</v>
      </c>
      <c r="D132" s="21">
        <f t="shared" ref="D132:G151" ca="1" si="23">IF(AND(ISNUMBER($D$1),$F$1&gt;0,ISNUMBER(D$11),D$11&lt;=$H$1),_xlfn.NORM.INV(RAND(),$D$1,SQRT($F$1)),"")</f>
        <v>10.923233219434604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10.446234128252902</v>
      </c>
      <c r="C133" s="20">
        <f t="shared" ca="1" si="15"/>
        <v>11.643657934642954</v>
      </c>
      <c r="D133" s="21">
        <f t="shared" ca="1" si="23"/>
        <v>11.643657934642954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8.5138090363456023</v>
      </c>
      <c r="C134" s="20">
        <f t="shared" ca="1" si="15"/>
        <v>8.8770268987427094</v>
      </c>
      <c r="D134" s="21">
        <f t="shared" ca="1" si="23"/>
        <v>8.8770268987427094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13.398226422850565</v>
      </c>
      <c r="C135" s="20">
        <f t="shared" ca="1" si="15"/>
        <v>7.6592305104450773</v>
      </c>
      <c r="D135" s="21">
        <f t="shared" ca="1" si="23"/>
        <v>7.6592305104450773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9.3589949531365342</v>
      </c>
      <c r="C136" s="20">
        <f t="shared" ca="1" si="15"/>
        <v>11.072508676735417</v>
      </c>
      <c r="D136" s="21">
        <f t="shared" ca="1" si="23"/>
        <v>11.072508676735417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6.0526748984766705</v>
      </c>
      <c r="C137" s="20">
        <f t="shared" ca="1" si="15"/>
        <v>8.6868581848949091</v>
      </c>
      <c r="D137" s="21">
        <f t="shared" ca="1" si="23"/>
        <v>8.6868581848949091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10.182970422824575</v>
      </c>
      <c r="C138" s="20">
        <f t="shared" ca="1" si="15"/>
        <v>10.625214172124734</v>
      </c>
      <c r="D138" s="21">
        <f t="shared" ca="1" si="23"/>
        <v>10.625214172124734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8.2545000114531302</v>
      </c>
      <c r="C139" s="20">
        <f t="shared" ca="1" si="15"/>
        <v>11.87778995614697</v>
      </c>
      <c r="D139" s="21">
        <f t="shared" ca="1" si="23"/>
        <v>11.87778995614697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9.9478103955266501</v>
      </c>
      <c r="C140" s="20">
        <f t="shared" ca="1" si="15"/>
        <v>10.426355632693932</v>
      </c>
      <c r="D140" s="21">
        <f t="shared" ca="1" si="23"/>
        <v>10.426355632693932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5.4449313343659069</v>
      </c>
      <c r="C141" s="20">
        <f t="shared" ref="C141:C204" ca="1" si="26">IF(AND($H$1&gt;=1,ISNUMBER(D141)),AVERAGE(D141:W141),"")</f>
        <v>10.794702638686626</v>
      </c>
      <c r="D141" s="21">
        <f t="shared" ca="1" si="23"/>
        <v>10.794702638686626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11.550006281194694</v>
      </c>
      <c r="C142" s="20">
        <f t="shared" ca="1" si="26"/>
        <v>8.2587983314881761</v>
      </c>
      <c r="D142" s="21">
        <f t="shared" ca="1" si="23"/>
        <v>8.2587983314881761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6.603568066630471</v>
      </c>
      <c r="C143" s="20">
        <f t="shared" ca="1" si="26"/>
        <v>7.8566938278311742</v>
      </c>
      <c r="D143" s="21">
        <f t="shared" ca="1" si="23"/>
        <v>7.8566938278311742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5.5496016334126699</v>
      </c>
      <c r="C144" s="20">
        <f t="shared" ca="1" si="26"/>
        <v>6.8327968354505666</v>
      </c>
      <c r="D144" s="21">
        <f t="shared" ca="1" si="23"/>
        <v>6.8327968354505666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9.0191770219099361</v>
      </c>
      <c r="C145" s="20">
        <f t="shared" ca="1" si="26"/>
        <v>7.4395306173508686</v>
      </c>
      <c r="D145" s="21">
        <f t="shared" ca="1" si="23"/>
        <v>7.4395306173508686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9.778967941482696</v>
      </c>
      <c r="C146" s="20">
        <f t="shared" ca="1" si="26"/>
        <v>10.689130052448229</v>
      </c>
      <c r="D146" s="21">
        <f t="shared" ca="1" si="23"/>
        <v>10.689130052448229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7.5666628962818567</v>
      </c>
      <c r="C147" s="20">
        <f t="shared" ca="1" si="26"/>
        <v>7.6626689319981978</v>
      </c>
      <c r="D147" s="21">
        <f t="shared" ca="1" si="23"/>
        <v>7.6626689319981978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7.8589251611299256</v>
      </c>
      <c r="C148" s="20">
        <f t="shared" ca="1" si="26"/>
        <v>11.292277941696625</v>
      </c>
      <c r="D148" s="21">
        <f t="shared" ca="1" si="23"/>
        <v>11.292277941696625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7.2963829898905637</v>
      </c>
      <c r="C149" s="20">
        <f t="shared" ca="1" si="26"/>
        <v>7.4703931864057616</v>
      </c>
      <c r="D149" s="21">
        <f t="shared" ca="1" si="23"/>
        <v>7.4703931864057616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11.403433214069086</v>
      </c>
      <c r="C150" s="20">
        <f t="shared" ca="1" si="26"/>
        <v>9.9172502720358064</v>
      </c>
      <c r="D150" s="21">
        <f t="shared" ca="1" si="23"/>
        <v>9.9172502720358064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9.4253177495420477</v>
      </c>
      <c r="C151" s="20">
        <f t="shared" ca="1" si="26"/>
        <v>11.275705291177884</v>
      </c>
      <c r="D151" s="21">
        <f t="shared" ca="1" si="23"/>
        <v>11.275705291177884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3.6249719052170679</v>
      </c>
      <c r="C152" s="20">
        <f t="shared" ca="1" si="26"/>
        <v>10.336978747696383</v>
      </c>
      <c r="D152" s="21">
        <f t="shared" ref="D152:G171" ca="1" si="28">IF(AND(ISNUMBER($D$1),$F$1&gt;0,ISNUMBER(D$11),D$11&lt;=$H$1),_xlfn.NORM.INV(RAND(),$D$1,SQRT($F$1)),"")</f>
        <v>10.336978747696383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13.362588840188694</v>
      </c>
      <c r="C153" s="20">
        <f t="shared" ca="1" si="26"/>
        <v>10.008757572251536</v>
      </c>
      <c r="D153" s="21">
        <f t="shared" ca="1" si="28"/>
        <v>10.008757572251536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4.7594423770586394</v>
      </c>
      <c r="C154" s="20">
        <f t="shared" ca="1" si="26"/>
        <v>10.027631421964658</v>
      </c>
      <c r="D154" s="21">
        <f t="shared" ca="1" si="28"/>
        <v>10.027631421964658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12.323762118611675</v>
      </c>
      <c r="C155" s="20">
        <f t="shared" ca="1" si="26"/>
        <v>7.5211412034143583</v>
      </c>
      <c r="D155" s="21">
        <f t="shared" ca="1" si="28"/>
        <v>7.5211412034143583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8.7299673508110267</v>
      </c>
      <c r="C156" s="20">
        <f t="shared" ca="1" si="26"/>
        <v>8.5263933881609866</v>
      </c>
      <c r="D156" s="21">
        <f t="shared" ca="1" si="28"/>
        <v>8.5263933881609866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13.632971780809584</v>
      </c>
      <c r="C157" s="20">
        <f t="shared" ca="1" si="26"/>
        <v>7.8150236529049426</v>
      </c>
      <c r="D157" s="21">
        <f t="shared" ca="1" si="28"/>
        <v>7.8150236529049426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10.114093296126281</v>
      </c>
      <c r="C158" s="20">
        <f t="shared" ca="1" si="26"/>
        <v>9.4395576011536289</v>
      </c>
      <c r="D158" s="21">
        <f t="shared" ca="1" si="28"/>
        <v>9.4395576011536289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12.232502023423606</v>
      </c>
      <c r="C159" s="20">
        <f t="shared" ca="1" si="26"/>
        <v>8.349632479535666</v>
      </c>
      <c r="D159" s="21">
        <f t="shared" ca="1" si="28"/>
        <v>8.349632479535666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10.237720572132201</v>
      </c>
      <c r="C160" s="20">
        <f t="shared" ca="1" si="26"/>
        <v>12.755129458275196</v>
      </c>
      <c r="D160" s="21">
        <f t="shared" ca="1" si="28"/>
        <v>12.755129458275196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8.7316571662309936</v>
      </c>
      <c r="C161" s="20">
        <f t="shared" ca="1" si="26"/>
        <v>10.286716051528849</v>
      </c>
      <c r="D161" s="21">
        <f t="shared" ca="1" si="28"/>
        <v>10.286716051528849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13.359815312725283</v>
      </c>
      <c r="C162" s="20">
        <f t="shared" ca="1" si="26"/>
        <v>8.2204627010390805</v>
      </c>
      <c r="D162" s="21">
        <f t="shared" ca="1" si="28"/>
        <v>8.2204627010390805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8.7596089605741057</v>
      </c>
      <c r="C163" s="20">
        <f t="shared" ca="1" si="26"/>
        <v>6.5773244996324873</v>
      </c>
      <c r="D163" s="21">
        <f t="shared" ca="1" si="28"/>
        <v>6.5773244996324873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9.6973203004802198</v>
      </c>
      <c r="C164" s="20">
        <f t="shared" ca="1" si="26"/>
        <v>10.619226843594269</v>
      </c>
      <c r="D164" s="21">
        <f t="shared" ca="1" si="28"/>
        <v>10.619226843594269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9.6016336002084408</v>
      </c>
      <c r="C165" s="20">
        <f t="shared" ca="1" si="26"/>
        <v>11.9002068374487</v>
      </c>
      <c r="D165" s="21">
        <f t="shared" ca="1" si="28"/>
        <v>11.9002068374487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9.3125364461764732</v>
      </c>
      <c r="C166" s="20">
        <f t="shared" ca="1" si="26"/>
        <v>10.04971363617134</v>
      </c>
      <c r="D166" s="21">
        <f t="shared" ca="1" si="28"/>
        <v>10.04971363617134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9.4930298992036626</v>
      </c>
      <c r="C167" s="20">
        <f t="shared" ca="1" si="26"/>
        <v>11.356437168092295</v>
      </c>
      <c r="D167" s="21">
        <f t="shared" ca="1" si="28"/>
        <v>11.356437168092295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10.052925171774669</v>
      </c>
      <c r="C168" s="20">
        <f t="shared" ca="1" si="26"/>
        <v>9.4605040899390591</v>
      </c>
      <c r="D168" s="21">
        <f t="shared" ca="1" si="28"/>
        <v>9.4605040899390591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11.554462152137397</v>
      </c>
      <c r="C169" s="20">
        <f t="shared" ca="1" si="26"/>
        <v>10.725786920630277</v>
      </c>
      <c r="D169" s="21">
        <f t="shared" ca="1" si="28"/>
        <v>10.725786920630277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6.4381719172287291</v>
      </c>
      <c r="C170" s="20">
        <f t="shared" ca="1" si="26"/>
        <v>6.2460007640431989</v>
      </c>
      <c r="D170" s="21">
        <f t="shared" ca="1" si="28"/>
        <v>6.2460007640431989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9.8658744636858877</v>
      </c>
      <c r="C171" s="20">
        <f t="shared" ca="1" si="26"/>
        <v>8.7410154854386573</v>
      </c>
      <c r="D171" s="21">
        <f t="shared" ca="1" si="28"/>
        <v>8.7410154854386573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12.500303095752034</v>
      </c>
      <c r="C172" s="20">
        <f t="shared" ca="1" si="26"/>
        <v>12.735507524391954</v>
      </c>
      <c r="D172" s="21">
        <f t="shared" ref="D172:G191" ca="1" si="31">IF(AND(ISNUMBER($D$1),$F$1&gt;0,ISNUMBER(D$11),D$11&lt;=$H$1),_xlfn.NORM.INV(RAND(),$D$1,SQRT($F$1)),"")</f>
        <v>12.735507524391954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7.9577219578246421</v>
      </c>
      <c r="C173" s="20">
        <f t="shared" ca="1" si="26"/>
        <v>14.047718389646322</v>
      </c>
      <c r="D173" s="21">
        <f t="shared" ca="1" si="31"/>
        <v>14.047718389646322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9.4850931720422231</v>
      </c>
      <c r="C174" s="20">
        <f t="shared" ca="1" si="26"/>
        <v>8.3557977936034309</v>
      </c>
      <c r="D174" s="21">
        <f t="shared" ca="1" si="31"/>
        <v>8.3557977936034309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10.080271337490046</v>
      </c>
      <c r="C175" s="20">
        <f t="shared" ca="1" si="26"/>
        <v>6.8345090057083517</v>
      </c>
      <c r="D175" s="21">
        <f t="shared" ca="1" si="31"/>
        <v>6.8345090057083517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9.907319279024124</v>
      </c>
      <c r="C176" s="20">
        <f t="shared" ca="1" si="26"/>
        <v>10.766098156222792</v>
      </c>
      <c r="D176" s="21">
        <f t="shared" ca="1" si="31"/>
        <v>10.766098156222792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9.7574731488926432</v>
      </c>
      <c r="C177" s="20">
        <f t="shared" ca="1" si="26"/>
        <v>11.699523528623777</v>
      </c>
      <c r="D177" s="21">
        <f t="shared" ca="1" si="31"/>
        <v>11.699523528623777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9.8733784065270065</v>
      </c>
      <c r="C178" s="20">
        <f t="shared" ca="1" si="26"/>
        <v>11.171710732621886</v>
      </c>
      <c r="D178" s="21">
        <f t="shared" ca="1" si="31"/>
        <v>11.171710732621886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8.8387134883655794</v>
      </c>
      <c r="C179" s="20">
        <f t="shared" ca="1" si="26"/>
        <v>11.774917205649963</v>
      </c>
      <c r="D179" s="21">
        <f t="shared" ca="1" si="31"/>
        <v>11.774917205649963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11.473968020743966</v>
      </c>
      <c r="C180" s="20">
        <f t="shared" ca="1" si="26"/>
        <v>5.4554209362161492</v>
      </c>
      <c r="D180" s="21">
        <f t="shared" ca="1" si="31"/>
        <v>5.4554209362161492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11.606464930751327</v>
      </c>
      <c r="C181" s="20">
        <f t="shared" ca="1" si="26"/>
        <v>12.261868056130009</v>
      </c>
      <c r="D181" s="21">
        <f t="shared" ca="1" si="31"/>
        <v>12.261868056130009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11.625948802087882</v>
      </c>
      <c r="C182" s="20">
        <f t="shared" ca="1" si="26"/>
        <v>10.194458763170305</v>
      </c>
      <c r="D182" s="21">
        <f t="shared" ca="1" si="31"/>
        <v>10.194458763170305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12.420908151834936</v>
      </c>
      <c r="C183" s="20">
        <f t="shared" ca="1" si="26"/>
        <v>10.424560905537719</v>
      </c>
      <c r="D183" s="21">
        <f t="shared" ca="1" si="31"/>
        <v>10.424560905537719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10.272826434250234</v>
      </c>
      <c r="C184" s="20">
        <f t="shared" ca="1" si="26"/>
        <v>10.038654267971483</v>
      </c>
      <c r="D184" s="21">
        <f t="shared" ca="1" si="31"/>
        <v>10.038654267971483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9.7116416649012596</v>
      </c>
      <c r="C185" s="20">
        <f t="shared" ca="1" si="26"/>
        <v>9.9685350228701122</v>
      </c>
      <c r="D185" s="21">
        <f t="shared" ca="1" si="31"/>
        <v>9.9685350228701122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10.396712942925344</v>
      </c>
      <c r="C186" s="20">
        <f t="shared" ca="1" si="26"/>
        <v>8.5718536180429332</v>
      </c>
      <c r="D186" s="21">
        <f t="shared" ca="1" si="31"/>
        <v>8.5718536180429332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11.753058911592472</v>
      </c>
      <c r="C187" s="20">
        <f t="shared" ca="1" si="26"/>
        <v>4.4236069289617683</v>
      </c>
      <c r="D187" s="21">
        <f t="shared" ca="1" si="31"/>
        <v>4.4236069289617683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10.641345394913685</v>
      </c>
      <c r="C188" s="20">
        <f t="shared" ca="1" si="26"/>
        <v>11.702592902902158</v>
      </c>
      <c r="D188" s="21">
        <f t="shared" ca="1" si="31"/>
        <v>11.702592902902158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13.399633335144756</v>
      </c>
      <c r="C189" s="20">
        <f t="shared" ca="1" si="26"/>
        <v>12.480651588432856</v>
      </c>
      <c r="D189" s="21">
        <f t="shared" ca="1" si="31"/>
        <v>12.480651588432856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9.3356426526869214</v>
      </c>
      <c r="C190" s="20">
        <f t="shared" ca="1" si="26"/>
        <v>10.742616001786725</v>
      </c>
      <c r="D190" s="21">
        <f t="shared" ca="1" si="31"/>
        <v>10.742616001786725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11.390655722301712</v>
      </c>
      <c r="C191" s="20">
        <f t="shared" ca="1" si="26"/>
        <v>12.215420648120523</v>
      </c>
      <c r="D191" s="21">
        <f t="shared" ca="1" si="31"/>
        <v>12.215420648120523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10.320293675352135</v>
      </c>
      <c r="C192" s="20">
        <f t="shared" ca="1" si="26"/>
        <v>6.1523867210710375</v>
      </c>
      <c r="D192" s="21">
        <f t="shared" ref="D192:G211" ca="1" si="34">IF(AND(ISNUMBER($D$1),$F$1&gt;0,ISNUMBER(D$11),D$11&lt;=$H$1),_xlfn.NORM.INV(RAND(),$D$1,SQRT($F$1)),"")</f>
        <v>6.1523867210710375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8.212515569630968</v>
      </c>
      <c r="C193" s="20">
        <f t="shared" ca="1" si="26"/>
        <v>10.533659505479422</v>
      </c>
      <c r="D193" s="21">
        <f t="shared" ca="1" si="34"/>
        <v>10.533659505479422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9.2460746796321374</v>
      </c>
      <c r="C194" s="20">
        <f t="shared" ca="1" si="26"/>
        <v>12.178434170324627</v>
      </c>
      <c r="D194" s="21">
        <f t="shared" ca="1" si="34"/>
        <v>12.178434170324627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12.920275219694711</v>
      </c>
      <c r="C195" s="20">
        <f t="shared" ca="1" si="26"/>
        <v>11.349603050404337</v>
      </c>
      <c r="D195" s="21">
        <f t="shared" ca="1" si="34"/>
        <v>11.349603050404337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6.1998214635198252</v>
      </c>
      <c r="C196" s="20">
        <f t="shared" ca="1" si="26"/>
        <v>10.170960371105945</v>
      </c>
      <c r="D196" s="21">
        <f t="shared" ca="1" si="34"/>
        <v>10.170960371105945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6.9491378122379359</v>
      </c>
      <c r="C197" s="20">
        <f t="shared" ca="1" si="26"/>
        <v>9.0666284055573669</v>
      </c>
      <c r="D197" s="21">
        <f t="shared" ca="1" si="34"/>
        <v>9.0666284055573669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11.633008380959831</v>
      </c>
      <c r="C198" s="20">
        <f t="shared" ca="1" si="26"/>
        <v>11.086060941639591</v>
      </c>
      <c r="D198" s="21">
        <f t="shared" ca="1" si="34"/>
        <v>11.086060941639591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9.2813468889649346</v>
      </c>
      <c r="C199" s="20">
        <f t="shared" ca="1" si="26"/>
        <v>10.197294706940134</v>
      </c>
      <c r="D199" s="21">
        <f t="shared" ca="1" si="34"/>
        <v>10.197294706940134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10.890312268922514</v>
      </c>
      <c r="C200" s="20">
        <f t="shared" ca="1" si="26"/>
        <v>9.2051606286921448</v>
      </c>
      <c r="D200" s="21">
        <f t="shared" ca="1" si="34"/>
        <v>9.2051606286921448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9.6893980212795405</v>
      </c>
      <c r="C201" s="20">
        <f t="shared" ca="1" si="26"/>
        <v>6.9450083861947158</v>
      </c>
      <c r="D201" s="21">
        <f t="shared" ca="1" si="34"/>
        <v>6.9450083861947158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9.3393005826686117</v>
      </c>
      <c r="C202" s="20">
        <f t="shared" ca="1" si="26"/>
        <v>6.8339219784787719</v>
      </c>
      <c r="D202" s="21">
        <f t="shared" ca="1" si="34"/>
        <v>6.8339219784787719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12.756559327696294</v>
      </c>
      <c r="C203" s="20">
        <f t="shared" ca="1" si="26"/>
        <v>8.5139940145358111</v>
      </c>
      <c r="D203" s="21">
        <f t="shared" ca="1" si="34"/>
        <v>8.5139940145358111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7.8995378323639214</v>
      </c>
      <c r="C204" s="20">
        <f t="shared" ca="1" si="26"/>
        <v>10.027468957965683</v>
      </c>
      <c r="D204" s="21">
        <f t="shared" ca="1" si="34"/>
        <v>10.027468957965683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10.539609249268921</v>
      </c>
      <c r="C205" s="20">
        <f t="shared" ref="C205:C268" ca="1" si="38">IF(AND($H$1&gt;=1,ISNUMBER(D205)),AVERAGE(D205:W205),"")</f>
        <v>8.9892108981243215</v>
      </c>
      <c r="D205" s="21">
        <f t="shared" ca="1" si="34"/>
        <v>8.9892108981243215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13.491333937717133</v>
      </c>
      <c r="C206" s="20">
        <f t="shared" ca="1" si="38"/>
        <v>11.176333270520157</v>
      </c>
      <c r="D206" s="21">
        <f t="shared" ca="1" si="34"/>
        <v>11.176333270520157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8.2124750684361345</v>
      </c>
      <c r="C207" s="20">
        <f t="shared" ca="1" si="38"/>
        <v>12.431655396922078</v>
      </c>
      <c r="D207" s="21">
        <f t="shared" ca="1" si="34"/>
        <v>12.431655396922078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10.545791213917274</v>
      </c>
      <c r="C208" s="20">
        <f t="shared" ca="1" si="38"/>
        <v>7.3028697469860759</v>
      </c>
      <c r="D208" s="21">
        <f t="shared" ca="1" si="34"/>
        <v>7.3028697469860759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8.6743001988223316</v>
      </c>
      <c r="C209" s="20">
        <f t="shared" ca="1" si="38"/>
        <v>9.060918154328796</v>
      </c>
      <c r="D209" s="21">
        <f t="shared" ca="1" si="34"/>
        <v>9.060918154328796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6.8067476666672677</v>
      </c>
      <c r="C210" s="20">
        <f t="shared" ca="1" si="38"/>
        <v>11.421378100637439</v>
      </c>
      <c r="D210" s="21">
        <f t="shared" ca="1" si="34"/>
        <v>11.421378100637439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12.076100082822508</v>
      </c>
      <c r="C211" s="20">
        <f t="shared" ca="1" si="38"/>
        <v>11.436991526070273</v>
      </c>
      <c r="D211" s="21">
        <f t="shared" ca="1" si="34"/>
        <v>11.436991526070273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11.193068355189709</v>
      </c>
      <c r="C212" s="20">
        <f t="shared" ca="1" si="38"/>
        <v>9.3130066449515905</v>
      </c>
      <c r="D212" s="21">
        <f t="shared" ref="D212:G231" ca="1" si="39">IF(AND(ISNUMBER($D$1),$F$1&gt;0,ISNUMBER(D$11),D$11&lt;=$H$1),_xlfn.NORM.INV(RAND(),$D$1,SQRT($F$1)),"")</f>
        <v>9.3130066449515905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7.7957736789595344</v>
      </c>
      <c r="C213" s="20">
        <f t="shared" ca="1" si="38"/>
        <v>9.0454295456538212</v>
      </c>
      <c r="D213" s="21">
        <f t="shared" ca="1" si="39"/>
        <v>9.0454295456538212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7.8506493265034241</v>
      </c>
      <c r="C214" s="20">
        <f t="shared" ca="1" si="38"/>
        <v>9.5738720288718682</v>
      </c>
      <c r="D214" s="21">
        <f t="shared" ca="1" si="39"/>
        <v>9.5738720288718682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8.9312897793922144</v>
      </c>
      <c r="C215" s="20">
        <f t="shared" ca="1" si="38"/>
        <v>10.578063426345857</v>
      </c>
      <c r="D215" s="21">
        <f t="shared" ca="1" si="39"/>
        <v>10.578063426345857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9.0723979782144237</v>
      </c>
      <c r="C216" s="20">
        <f t="shared" ca="1" si="38"/>
        <v>8.841940412047844</v>
      </c>
      <c r="D216" s="21">
        <f t="shared" ca="1" si="39"/>
        <v>8.841940412047844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14.5076704272049</v>
      </c>
      <c r="C217" s="20">
        <f t="shared" ca="1" si="38"/>
        <v>13.125571256456304</v>
      </c>
      <c r="D217" s="21">
        <f t="shared" ca="1" si="39"/>
        <v>13.125571256456304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10.548086597041195</v>
      </c>
      <c r="C218" s="20">
        <f t="shared" ca="1" si="38"/>
        <v>6.6301289252517748</v>
      </c>
      <c r="D218" s="21">
        <f t="shared" ca="1" si="39"/>
        <v>6.6301289252517748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7.742250983582414</v>
      </c>
      <c r="C219" s="20">
        <f t="shared" ca="1" si="38"/>
        <v>11.460426256335513</v>
      </c>
      <c r="D219" s="21">
        <f t="shared" ca="1" si="39"/>
        <v>11.460426256335513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10.634413225196298</v>
      </c>
      <c r="C220" s="20">
        <f t="shared" ca="1" si="38"/>
        <v>9.8649289082986815</v>
      </c>
      <c r="D220" s="21">
        <f t="shared" ca="1" si="39"/>
        <v>9.8649289082986815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8.2594772995146784</v>
      </c>
      <c r="C221" s="20">
        <f t="shared" ca="1" si="38"/>
        <v>8.3965937211062442</v>
      </c>
      <c r="D221" s="21">
        <f t="shared" ca="1" si="39"/>
        <v>8.3965937211062442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11.48678261889345</v>
      </c>
      <c r="C222" s="20">
        <f t="shared" ca="1" si="38"/>
        <v>11.19529012282239</v>
      </c>
      <c r="D222" s="21">
        <f t="shared" ca="1" si="39"/>
        <v>11.19529012282239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8.3744771110259428</v>
      </c>
      <c r="C223" s="20">
        <f t="shared" ca="1" si="38"/>
        <v>6.7488439211656122</v>
      </c>
      <c r="D223" s="21">
        <f t="shared" ca="1" si="39"/>
        <v>6.7488439211656122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11.477554299044339</v>
      </c>
      <c r="C224" s="20">
        <f t="shared" ca="1" si="38"/>
        <v>8.5371973602531153</v>
      </c>
      <c r="D224" s="21">
        <f t="shared" ca="1" si="39"/>
        <v>8.5371973602531153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7.2974541540777631</v>
      </c>
      <c r="C225" s="20">
        <f t="shared" ca="1" si="38"/>
        <v>11.117664151605403</v>
      </c>
      <c r="D225" s="21">
        <f t="shared" ca="1" si="39"/>
        <v>11.117664151605403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11.282878126025711</v>
      </c>
      <c r="C226" s="20">
        <f t="shared" ca="1" si="38"/>
        <v>9.586485968968919</v>
      </c>
      <c r="D226" s="21">
        <f t="shared" ca="1" si="39"/>
        <v>9.586485968968919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13.022475820671296</v>
      </c>
      <c r="C227" s="20">
        <f t="shared" ca="1" si="38"/>
        <v>10.504563361228872</v>
      </c>
      <c r="D227" s="21">
        <f t="shared" ca="1" si="39"/>
        <v>10.504563361228872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11.254159810941131</v>
      </c>
      <c r="C228" s="20">
        <f t="shared" ca="1" si="38"/>
        <v>8.2257199929252689</v>
      </c>
      <c r="D228" s="21">
        <f t="shared" ca="1" si="39"/>
        <v>8.2257199929252689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10.95288165521233</v>
      </c>
      <c r="C229" s="20">
        <f t="shared" ca="1" si="38"/>
        <v>10.169657237673015</v>
      </c>
      <c r="D229" s="21">
        <f t="shared" ca="1" si="39"/>
        <v>10.169657237673015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10.525738534873376</v>
      </c>
      <c r="C230" s="20">
        <f t="shared" ca="1" si="38"/>
        <v>8.8162730331257873</v>
      </c>
      <c r="D230" s="21">
        <f t="shared" ca="1" si="39"/>
        <v>8.8162730331257873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8.0548814781588103</v>
      </c>
      <c r="C231" s="20">
        <f t="shared" ca="1" si="38"/>
        <v>9.1114375057320824</v>
      </c>
      <c r="D231" s="21">
        <f t="shared" ca="1" si="39"/>
        <v>9.1114375057320824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7.728496172683986</v>
      </c>
      <c r="C232" s="20">
        <f t="shared" ca="1" si="38"/>
        <v>10.892964942984978</v>
      </c>
      <c r="D232" s="21">
        <f t="shared" ref="D232:G251" ca="1" si="42">IF(AND(ISNUMBER($D$1),$F$1&gt;0,ISNUMBER(D$11),D$11&lt;=$H$1),_xlfn.NORM.INV(RAND(),$D$1,SQRT($F$1)),"")</f>
        <v>10.892964942984978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10.73288774248555</v>
      </c>
      <c r="C233" s="20">
        <f t="shared" ca="1" si="38"/>
        <v>10.629405051852027</v>
      </c>
      <c r="D233" s="21">
        <f t="shared" ca="1" si="42"/>
        <v>10.629405051852027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10.925856432177946</v>
      </c>
      <c r="C234" s="20">
        <f t="shared" ca="1" si="38"/>
        <v>11.806501711979232</v>
      </c>
      <c r="D234" s="21">
        <f t="shared" ca="1" si="42"/>
        <v>11.806501711979232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13.521192281734901</v>
      </c>
      <c r="C235" s="20">
        <f t="shared" ca="1" si="38"/>
        <v>8.987667803177537</v>
      </c>
      <c r="D235" s="21">
        <f t="shared" ca="1" si="42"/>
        <v>8.987667803177537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14.566377148481841</v>
      </c>
      <c r="C236" s="20">
        <f t="shared" ca="1" si="38"/>
        <v>8.6589388662814795</v>
      </c>
      <c r="D236" s="21">
        <f t="shared" ca="1" si="42"/>
        <v>8.6589388662814795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6.2067616922169755</v>
      </c>
      <c r="C237" s="20">
        <f t="shared" ca="1" si="38"/>
        <v>8.2331814414197453</v>
      </c>
      <c r="D237" s="21">
        <f t="shared" ca="1" si="42"/>
        <v>8.2331814414197453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11.634275357060657</v>
      </c>
      <c r="C238" s="20">
        <f t="shared" ca="1" si="38"/>
        <v>11.541194768047843</v>
      </c>
      <c r="D238" s="21">
        <f t="shared" ca="1" si="42"/>
        <v>11.541194768047843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8.284850098063302</v>
      </c>
      <c r="C239" s="20">
        <f t="shared" ca="1" si="38"/>
        <v>5.9684701812870644</v>
      </c>
      <c r="D239" s="21">
        <f t="shared" ca="1" si="42"/>
        <v>5.9684701812870644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11.727690767214657</v>
      </c>
      <c r="C240" s="20">
        <f t="shared" ca="1" si="38"/>
        <v>7.5320318705429434</v>
      </c>
      <c r="D240" s="21">
        <f t="shared" ca="1" si="42"/>
        <v>7.5320318705429434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13.396564201998956</v>
      </c>
      <c r="C241" s="20">
        <f t="shared" ca="1" si="38"/>
        <v>9.3910849956908109</v>
      </c>
      <c r="D241" s="21">
        <f t="shared" ca="1" si="42"/>
        <v>9.3910849956908109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12.065650455248996</v>
      </c>
      <c r="C242" s="20">
        <f t="shared" ca="1" si="38"/>
        <v>7.9597113027388513</v>
      </c>
      <c r="D242" s="21">
        <f t="shared" ca="1" si="42"/>
        <v>7.9597113027388513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7.3838129933584771</v>
      </c>
      <c r="C243" s="20">
        <f t="shared" ca="1" si="38"/>
        <v>8.0886107823222684</v>
      </c>
      <c r="D243" s="21">
        <f t="shared" ca="1" si="42"/>
        <v>8.0886107823222684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9.7938462095439096</v>
      </c>
      <c r="C244" s="20">
        <f t="shared" ca="1" si="38"/>
        <v>6.9394024745329492</v>
      </c>
      <c r="D244" s="21">
        <f t="shared" ca="1" si="42"/>
        <v>6.9394024745329492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9.8543299063457201</v>
      </c>
      <c r="C245" s="20">
        <f t="shared" ca="1" si="38"/>
        <v>8.9828973174537801</v>
      </c>
      <c r="D245" s="21">
        <f t="shared" ca="1" si="42"/>
        <v>8.9828973174537801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12.741691517687986</v>
      </c>
      <c r="C246" s="20">
        <f t="shared" ca="1" si="38"/>
        <v>10.863777987456464</v>
      </c>
      <c r="D246" s="21">
        <f t="shared" ca="1" si="42"/>
        <v>10.863777987456464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8.1622006467514403</v>
      </c>
      <c r="C247" s="20">
        <f t="shared" ca="1" si="38"/>
        <v>12.328121761154293</v>
      </c>
      <c r="D247" s="21">
        <f t="shared" ca="1" si="42"/>
        <v>12.328121761154293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10.039896141145336</v>
      </c>
      <c r="C248" s="20">
        <f t="shared" ca="1" si="38"/>
        <v>13.716298385825105</v>
      </c>
      <c r="D248" s="21">
        <f t="shared" ca="1" si="42"/>
        <v>13.716298385825105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10.281456793765487</v>
      </c>
      <c r="C249" s="20">
        <f t="shared" ca="1" si="38"/>
        <v>10.243576218205103</v>
      </c>
      <c r="D249" s="21">
        <f t="shared" ca="1" si="42"/>
        <v>10.243576218205103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12.268854003399039</v>
      </c>
      <c r="C250" s="20">
        <f t="shared" ca="1" si="38"/>
        <v>13.55125316164211</v>
      </c>
      <c r="D250" s="21">
        <f t="shared" ca="1" si="42"/>
        <v>13.55125316164211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8.702838416186756</v>
      </c>
      <c r="C251" s="20">
        <f t="shared" ca="1" si="38"/>
        <v>9.2927714047998631</v>
      </c>
      <c r="D251" s="21">
        <f t="shared" ca="1" si="42"/>
        <v>9.2927714047998631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7.7240685289885764</v>
      </c>
      <c r="C252" s="20">
        <f t="shared" ca="1" si="38"/>
        <v>11.055433191082239</v>
      </c>
      <c r="D252" s="21">
        <f t="shared" ref="D252:G271" ca="1" si="45">IF(AND(ISNUMBER($D$1),$F$1&gt;0,ISNUMBER(D$11),D$11&lt;=$H$1),_xlfn.NORM.INV(RAND(),$D$1,SQRT($F$1)),"")</f>
        <v>11.055433191082239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12.345095820732189</v>
      </c>
      <c r="C253" s="20">
        <f t="shared" ca="1" si="38"/>
        <v>12.762083032047206</v>
      </c>
      <c r="D253" s="21">
        <f t="shared" ca="1" si="45"/>
        <v>12.762083032047206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7.2803378494454254</v>
      </c>
      <c r="C254" s="20">
        <f t="shared" ca="1" si="38"/>
        <v>7.8592050305473542</v>
      </c>
      <c r="D254" s="21">
        <f t="shared" ca="1" si="45"/>
        <v>7.8592050305473542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8.2838569461604266</v>
      </c>
      <c r="C255" s="20">
        <f t="shared" ca="1" si="38"/>
        <v>8.1052068629847884</v>
      </c>
      <c r="D255" s="21">
        <f t="shared" ca="1" si="45"/>
        <v>8.1052068629847884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9.4088243367023576</v>
      </c>
      <c r="C256" s="20">
        <f t="shared" ca="1" si="38"/>
        <v>9.6411808564301218</v>
      </c>
      <c r="D256" s="21">
        <f t="shared" ca="1" si="45"/>
        <v>9.6411808564301218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8.8238191707845406</v>
      </c>
      <c r="C257" s="20">
        <f t="shared" ca="1" si="38"/>
        <v>9.193291498184216</v>
      </c>
      <c r="D257" s="21">
        <f t="shared" ca="1" si="45"/>
        <v>9.193291498184216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6.0602395793002533</v>
      </c>
      <c r="C258" s="20">
        <f t="shared" ca="1" si="38"/>
        <v>10.34132788716021</v>
      </c>
      <c r="D258" s="21">
        <f t="shared" ca="1" si="45"/>
        <v>10.34132788716021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11.221853040874329</v>
      </c>
      <c r="C259" s="20">
        <f t="shared" ca="1" si="38"/>
        <v>10.195365608262025</v>
      </c>
      <c r="D259" s="21">
        <f t="shared" ca="1" si="45"/>
        <v>10.195365608262025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8.5185463252324602</v>
      </c>
      <c r="C260" s="20">
        <f t="shared" ca="1" si="38"/>
        <v>11.047797360046603</v>
      </c>
      <c r="D260" s="21">
        <f t="shared" ca="1" si="45"/>
        <v>11.047797360046603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8.7889999569290875</v>
      </c>
      <c r="C261" s="20">
        <f t="shared" ca="1" si="38"/>
        <v>10.730384158347315</v>
      </c>
      <c r="D261" s="21">
        <f t="shared" ca="1" si="45"/>
        <v>10.730384158347315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10.402923791742216</v>
      </c>
      <c r="C262" s="20">
        <f t="shared" ca="1" si="38"/>
        <v>11.329407503024406</v>
      </c>
      <c r="D262" s="21">
        <f t="shared" ca="1" si="45"/>
        <v>11.329407503024406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9.5386110561900335</v>
      </c>
      <c r="C263" s="20">
        <f t="shared" ca="1" si="38"/>
        <v>8.0965830703297996</v>
      </c>
      <c r="D263" s="21">
        <f t="shared" ca="1" si="45"/>
        <v>8.0965830703297996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7.3067744594395112</v>
      </c>
      <c r="C264" s="20">
        <f t="shared" ca="1" si="38"/>
        <v>11.802079354334719</v>
      </c>
      <c r="D264" s="21">
        <f t="shared" ca="1" si="45"/>
        <v>11.802079354334719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7.0436070381634011</v>
      </c>
      <c r="C265" s="20">
        <f t="shared" ca="1" si="38"/>
        <v>10.967100427665834</v>
      </c>
      <c r="D265" s="21">
        <f t="shared" ca="1" si="45"/>
        <v>10.967100427665834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9.0332431877229737</v>
      </c>
      <c r="C266" s="20">
        <f t="shared" ca="1" si="38"/>
        <v>9.0177766024465651</v>
      </c>
      <c r="D266" s="21">
        <f t="shared" ca="1" si="45"/>
        <v>9.0177766024465651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10.916338610064679</v>
      </c>
      <c r="C267" s="20">
        <f t="shared" ca="1" si="38"/>
        <v>11.690629753254642</v>
      </c>
      <c r="D267" s="21">
        <f t="shared" ca="1" si="45"/>
        <v>11.690629753254642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7.9676074690112824</v>
      </c>
      <c r="C268" s="20">
        <f t="shared" ca="1" si="38"/>
        <v>8.5191917719002923</v>
      </c>
      <c r="D268" s="21">
        <f t="shared" ca="1" si="45"/>
        <v>8.5191917719002923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11.972343175737031</v>
      </c>
      <c r="C269" s="20">
        <f t="shared" ref="C269:C332" ca="1" si="49">IF(AND($H$1&gt;=1,ISNUMBER(D269)),AVERAGE(D269:W269),"")</f>
        <v>10.821768247150368</v>
      </c>
      <c r="D269" s="21">
        <f t="shared" ca="1" si="45"/>
        <v>10.821768247150368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8.533478720561142</v>
      </c>
      <c r="C270" s="20">
        <f t="shared" ca="1" si="49"/>
        <v>9.8828093412725373</v>
      </c>
      <c r="D270" s="21">
        <f t="shared" ca="1" si="45"/>
        <v>9.8828093412725373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8.8339561869754402</v>
      </c>
      <c r="C271" s="20">
        <f t="shared" ca="1" si="49"/>
        <v>9.3207704272108476</v>
      </c>
      <c r="D271" s="21">
        <f t="shared" ca="1" si="45"/>
        <v>9.3207704272108476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7.3846795134043379</v>
      </c>
      <c r="C272" s="20">
        <f t="shared" ca="1" si="49"/>
        <v>9.2634214290537553</v>
      </c>
      <c r="D272" s="21">
        <f t="shared" ref="D272:G291" ca="1" si="50">IF(AND(ISNUMBER($D$1),$F$1&gt;0,ISNUMBER(D$11),D$11&lt;=$H$1),_xlfn.NORM.INV(RAND(),$D$1,SQRT($F$1)),"")</f>
        <v>9.2634214290537553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10.391662762156722</v>
      </c>
      <c r="C273" s="20">
        <f t="shared" ca="1" si="49"/>
        <v>10.077966943303091</v>
      </c>
      <c r="D273" s="21">
        <f t="shared" ca="1" si="50"/>
        <v>10.077966943303091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9.4293875934273963</v>
      </c>
      <c r="C274" s="20">
        <f t="shared" ca="1" si="49"/>
        <v>12.333535115559441</v>
      </c>
      <c r="D274" s="21">
        <f t="shared" ca="1" si="50"/>
        <v>12.333535115559441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11.459782894056511</v>
      </c>
      <c r="C275" s="20">
        <f t="shared" ca="1" si="49"/>
        <v>9.1881204942026873</v>
      </c>
      <c r="D275" s="21">
        <f t="shared" ca="1" si="50"/>
        <v>9.1881204942026873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13.421157717348766</v>
      </c>
      <c r="C276" s="20">
        <f t="shared" ca="1" si="49"/>
        <v>8.5795995945411256</v>
      </c>
      <c r="D276" s="21">
        <f t="shared" ca="1" si="50"/>
        <v>8.5795995945411256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11.383549628713544</v>
      </c>
      <c r="C277" s="20">
        <f t="shared" ca="1" si="49"/>
        <v>9.5486571883646523</v>
      </c>
      <c r="D277" s="21">
        <f t="shared" ca="1" si="50"/>
        <v>9.5486571883646523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8.6931887231729288</v>
      </c>
      <c r="C278" s="20">
        <f t="shared" ca="1" si="49"/>
        <v>11.45024784263148</v>
      </c>
      <c r="D278" s="21">
        <f t="shared" ca="1" si="50"/>
        <v>11.45024784263148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9.2232216965180847</v>
      </c>
      <c r="C279" s="20">
        <f t="shared" ca="1" si="49"/>
        <v>11.910110068780094</v>
      </c>
      <c r="D279" s="21">
        <f t="shared" ca="1" si="50"/>
        <v>11.910110068780094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12.03749841039175</v>
      </c>
      <c r="C280" s="20">
        <f t="shared" ca="1" si="49"/>
        <v>9.1762994772392013</v>
      </c>
      <c r="D280" s="21">
        <f t="shared" ca="1" si="50"/>
        <v>9.1762994772392013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12.985426514945969</v>
      </c>
      <c r="C281" s="20">
        <f t="shared" ca="1" si="49"/>
        <v>12.757712783292179</v>
      </c>
      <c r="D281" s="21">
        <f t="shared" ca="1" si="50"/>
        <v>12.757712783292179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8.9877956461361972</v>
      </c>
      <c r="C282" s="20">
        <f t="shared" ca="1" si="49"/>
        <v>11.978515886201139</v>
      </c>
      <c r="D282" s="21">
        <f t="shared" ca="1" si="50"/>
        <v>11.978515886201139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8.7424689643383875</v>
      </c>
      <c r="C283" s="20">
        <f t="shared" ca="1" si="49"/>
        <v>6.5820959684663869</v>
      </c>
      <c r="D283" s="21">
        <f t="shared" ca="1" si="50"/>
        <v>6.5820959684663869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8.1972491050922009</v>
      </c>
      <c r="C284" s="20">
        <f t="shared" ca="1" si="49"/>
        <v>8.0774327464205626</v>
      </c>
      <c r="D284" s="21">
        <f t="shared" ca="1" si="50"/>
        <v>8.0774327464205626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8.5506891360428003</v>
      </c>
      <c r="C285" s="20">
        <f t="shared" ca="1" si="49"/>
        <v>7.6322403699725747</v>
      </c>
      <c r="D285" s="21">
        <f t="shared" ca="1" si="50"/>
        <v>7.6322403699725747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8.3324399601197499</v>
      </c>
      <c r="C286" s="20">
        <f t="shared" ca="1" si="49"/>
        <v>8.6333895853599323</v>
      </c>
      <c r="D286" s="21">
        <f t="shared" ca="1" si="50"/>
        <v>8.6333895853599323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11.102129945516467</v>
      </c>
      <c r="C287" s="20">
        <f t="shared" ca="1" si="49"/>
        <v>10.066159549613932</v>
      </c>
      <c r="D287" s="21">
        <f t="shared" ca="1" si="50"/>
        <v>10.066159549613932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11.12022519835784</v>
      </c>
      <c r="C288" s="20">
        <f t="shared" ca="1" si="49"/>
        <v>7.2859227725289877</v>
      </c>
      <c r="D288" s="21">
        <f t="shared" ca="1" si="50"/>
        <v>7.2859227725289877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11.096790180823557</v>
      </c>
      <c r="C289" s="20">
        <f t="shared" ca="1" si="49"/>
        <v>8.9197025646336279</v>
      </c>
      <c r="D289" s="21">
        <f t="shared" ca="1" si="50"/>
        <v>8.9197025646336279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10.417128591663268</v>
      </c>
      <c r="C290" s="20">
        <f t="shared" ca="1" si="49"/>
        <v>11.746644860488125</v>
      </c>
      <c r="D290" s="21">
        <f t="shared" ca="1" si="50"/>
        <v>11.746644860488125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10.843452789922182</v>
      </c>
      <c r="C291" s="20">
        <f t="shared" ca="1" si="49"/>
        <v>8.7867944234176854</v>
      </c>
      <c r="D291" s="21">
        <f t="shared" ca="1" si="50"/>
        <v>8.7867944234176854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11.046458231741882</v>
      </c>
      <c r="C292" s="20">
        <f t="shared" ca="1" si="49"/>
        <v>10.031278638747839</v>
      </c>
      <c r="D292" s="21">
        <f t="shared" ref="D292:G311" ca="1" si="53">IF(AND(ISNUMBER($D$1),$F$1&gt;0,ISNUMBER(D$11),D$11&lt;=$H$1),_xlfn.NORM.INV(RAND(),$D$1,SQRT($F$1)),"")</f>
        <v>10.031278638747839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14.74577191356752</v>
      </c>
      <c r="C293" s="20">
        <f t="shared" ca="1" si="49"/>
        <v>9.6738853805215683</v>
      </c>
      <c r="D293" s="21">
        <f t="shared" ca="1" si="53"/>
        <v>9.6738853805215683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9.5205895762405781</v>
      </c>
      <c r="C294" s="20">
        <f t="shared" ca="1" si="49"/>
        <v>6.9290493232578321</v>
      </c>
      <c r="D294" s="21">
        <f t="shared" ca="1" si="53"/>
        <v>6.9290493232578321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10.555053617799727</v>
      </c>
      <c r="C295" s="20">
        <f t="shared" ca="1" si="49"/>
        <v>11.803559928115831</v>
      </c>
      <c r="D295" s="21">
        <f t="shared" ca="1" si="53"/>
        <v>11.803559928115831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12.590993781021877</v>
      </c>
      <c r="C296" s="20">
        <f t="shared" ca="1" si="49"/>
        <v>10.064468080316441</v>
      </c>
      <c r="D296" s="21">
        <f t="shared" ca="1" si="53"/>
        <v>10.064468080316441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12.567211160918706</v>
      </c>
      <c r="C297" s="20">
        <f t="shared" ca="1" si="49"/>
        <v>9.2284716422526181</v>
      </c>
      <c r="D297" s="21">
        <f t="shared" ca="1" si="53"/>
        <v>9.2284716422526181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4.7507709480830469</v>
      </c>
      <c r="C298" s="20">
        <f t="shared" ca="1" si="49"/>
        <v>11.250785058902512</v>
      </c>
      <c r="D298" s="21">
        <f t="shared" ca="1" si="53"/>
        <v>11.250785058902512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10.50041952524867</v>
      </c>
      <c r="C299" s="20">
        <f t="shared" ca="1" si="49"/>
        <v>10.089644435662263</v>
      </c>
      <c r="D299" s="21">
        <f t="shared" ca="1" si="53"/>
        <v>10.089644435662263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12.340295542277294</v>
      </c>
      <c r="C300" s="20">
        <f t="shared" ca="1" si="49"/>
        <v>11.407919325549463</v>
      </c>
      <c r="D300" s="21">
        <f t="shared" ca="1" si="53"/>
        <v>11.407919325549463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9.4563893173447351</v>
      </c>
      <c r="C301" s="20">
        <f t="shared" ca="1" si="49"/>
        <v>9.7046817130333238</v>
      </c>
      <c r="D301" s="21">
        <f t="shared" ca="1" si="53"/>
        <v>9.7046817130333238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4.8036173258189629</v>
      </c>
      <c r="C302" s="20">
        <f t="shared" ca="1" si="49"/>
        <v>9.9201636699486588</v>
      </c>
      <c r="D302" s="21">
        <f t="shared" ca="1" si="53"/>
        <v>9.9201636699486588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8.0519912142658505</v>
      </c>
      <c r="C303" s="20">
        <f t="shared" ca="1" si="49"/>
        <v>10.361854466272295</v>
      </c>
      <c r="D303" s="21">
        <f t="shared" ca="1" si="53"/>
        <v>10.361854466272295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10.055994286230915</v>
      </c>
      <c r="C304" s="20">
        <f t="shared" ca="1" si="49"/>
        <v>6.4540517023784822</v>
      </c>
      <c r="D304" s="21">
        <f t="shared" ca="1" si="53"/>
        <v>6.4540517023784822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8.8685340233310974</v>
      </c>
      <c r="C305" s="20">
        <f t="shared" ca="1" si="49"/>
        <v>8.2876067376766933</v>
      </c>
      <c r="D305" s="21">
        <f t="shared" ca="1" si="53"/>
        <v>8.2876067376766933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7.6869149006648172</v>
      </c>
      <c r="C306" s="20">
        <f t="shared" ca="1" si="49"/>
        <v>11.744172335784905</v>
      </c>
      <c r="D306" s="21">
        <f t="shared" ca="1" si="53"/>
        <v>11.744172335784905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9.2983579551585507</v>
      </c>
      <c r="C307" s="20">
        <f t="shared" ca="1" si="49"/>
        <v>9.028660890398827</v>
      </c>
      <c r="D307" s="21">
        <f t="shared" ca="1" si="53"/>
        <v>9.028660890398827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5.2641994831447239</v>
      </c>
      <c r="C308" s="20">
        <f t="shared" ca="1" si="49"/>
        <v>10.846721503984057</v>
      </c>
      <c r="D308" s="21">
        <f t="shared" ca="1" si="53"/>
        <v>10.846721503984057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8.8328667499038058</v>
      </c>
      <c r="C309" s="20">
        <f t="shared" ca="1" si="49"/>
        <v>12.390424394074547</v>
      </c>
      <c r="D309" s="21">
        <f t="shared" ca="1" si="53"/>
        <v>12.390424394074547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12.668362916016854</v>
      </c>
      <c r="C310" s="20">
        <f t="shared" ca="1" si="49"/>
        <v>10.608691172888427</v>
      </c>
      <c r="D310" s="21">
        <f t="shared" ca="1" si="53"/>
        <v>10.608691172888427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9.3748269006701062</v>
      </c>
      <c r="C311" s="20">
        <f t="shared" ca="1" si="49"/>
        <v>12.236222292691235</v>
      </c>
      <c r="D311" s="21">
        <f t="shared" ca="1" si="53"/>
        <v>12.236222292691235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7.3420286323836894</v>
      </c>
      <c r="C312" s="20">
        <f t="shared" ca="1" si="49"/>
        <v>7.7681173513251114</v>
      </c>
      <c r="D312" s="21">
        <f t="shared" ref="D312:G331" ca="1" si="56">IF(AND(ISNUMBER($D$1),$F$1&gt;0,ISNUMBER(D$11),D$11&lt;=$H$1),_xlfn.NORM.INV(RAND(),$D$1,SQRT($F$1)),"")</f>
        <v>7.7681173513251114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11.927595010113395</v>
      </c>
      <c r="C313" s="20">
        <f t="shared" ca="1" si="49"/>
        <v>11.55963144942041</v>
      </c>
      <c r="D313" s="21">
        <f t="shared" ca="1" si="56"/>
        <v>11.55963144942041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12.093794780167805</v>
      </c>
      <c r="C314" s="20">
        <f t="shared" ca="1" si="49"/>
        <v>7.7690035015439491</v>
      </c>
      <c r="D314" s="21">
        <f t="shared" ca="1" si="56"/>
        <v>7.7690035015439491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13.012313398607461</v>
      </c>
      <c r="C315" s="20">
        <f t="shared" ca="1" si="49"/>
        <v>6.4322868193857499</v>
      </c>
      <c r="D315" s="21">
        <f t="shared" ca="1" si="56"/>
        <v>6.4322868193857499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10.919699682851501</v>
      </c>
      <c r="C316" s="20">
        <f t="shared" ca="1" si="49"/>
        <v>12.72277622667813</v>
      </c>
      <c r="D316" s="21">
        <f t="shared" ca="1" si="56"/>
        <v>12.72277622667813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9.6798031258819481</v>
      </c>
      <c r="C317" s="20">
        <f t="shared" ca="1" si="49"/>
        <v>7.8430380827468769</v>
      </c>
      <c r="D317" s="21">
        <f t="shared" ca="1" si="56"/>
        <v>7.8430380827468769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11.780559524554089</v>
      </c>
      <c r="C318" s="20">
        <f t="shared" ca="1" si="49"/>
        <v>10.742734190968191</v>
      </c>
      <c r="D318" s="21">
        <f t="shared" ca="1" si="56"/>
        <v>10.742734190968191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10.093865796990691</v>
      </c>
      <c r="C319" s="20">
        <f t="shared" ca="1" si="49"/>
        <v>13.462279378484403</v>
      </c>
      <c r="D319" s="21">
        <f t="shared" ca="1" si="56"/>
        <v>13.462279378484403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12.405981670380006</v>
      </c>
      <c r="C320" s="20">
        <f t="shared" ca="1" si="49"/>
        <v>9.1067273239908886</v>
      </c>
      <c r="D320" s="21">
        <f t="shared" ca="1" si="56"/>
        <v>9.1067273239908886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7.9605922564512648</v>
      </c>
      <c r="C321" s="20">
        <f t="shared" ca="1" si="49"/>
        <v>12.145729544346112</v>
      </c>
      <c r="D321" s="21">
        <f t="shared" ca="1" si="56"/>
        <v>12.145729544346112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11.094564903263619</v>
      </c>
      <c r="C322" s="20">
        <f t="shared" ca="1" si="49"/>
        <v>9.2414301284937608</v>
      </c>
      <c r="D322" s="21">
        <f t="shared" ca="1" si="56"/>
        <v>9.2414301284937608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10.357079734799431</v>
      </c>
      <c r="C323" s="20">
        <f t="shared" ca="1" si="49"/>
        <v>11.520506953979812</v>
      </c>
      <c r="D323" s="21">
        <f t="shared" ca="1" si="56"/>
        <v>11.520506953979812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11.973923201257167</v>
      </c>
      <c r="C324" s="20">
        <f t="shared" ca="1" si="49"/>
        <v>10.626299927580842</v>
      </c>
      <c r="D324" s="21">
        <f t="shared" ca="1" si="56"/>
        <v>10.626299927580842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11.610879142283551</v>
      </c>
      <c r="C325" s="20">
        <f t="shared" ca="1" si="49"/>
        <v>10.287983224568775</v>
      </c>
      <c r="D325" s="21">
        <f t="shared" ca="1" si="56"/>
        <v>10.287983224568775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11.41322208505558</v>
      </c>
      <c r="C326" s="20">
        <f t="shared" ca="1" si="49"/>
        <v>10.714744057083323</v>
      </c>
      <c r="D326" s="21">
        <f t="shared" ca="1" si="56"/>
        <v>10.714744057083323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9.1585547212925551</v>
      </c>
      <c r="C327" s="20">
        <f t="shared" ca="1" si="49"/>
        <v>8.6724115297964417</v>
      </c>
      <c r="D327" s="21">
        <f t="shared" ca="1" si="56"/>
        <v>8.6724115297964417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10.143328713720905</v>
      </c>
      <c r="C328" s="20">
        <f t="shared" ca="1" si="49"/>
        <v>11.78204014934242</v>
      </c>
      <c r="D328" s="21">
        <f t="shared" ca="1" si="56"/>
        <v>11.78204014934242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8.1603531695924616</v>
      </c>
      <c r="C329" s="20">
        <f t="shared" ca="1" si="49"/>
        <v>10.496837639237555</v>
      </c>
      <c r="D329" s="21">
        <f t="shared" ca="1" si="56"/>
        <v>10.496837639237555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7.0368528269222423</v>
      </c>
      <c r="C330" s="20">
        <f t="shared" ca="1" si="49"/>
        <v>8.7215741069381849</v>
      </c>
      <c r="D330" s="21">
        <f t="shared" ca="1" si="56"/>
        <v>8.7215741069381849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6.3110141874997563</v>
      </c>
      <c r="C331" s="20">
        <f t="shared" ca="1" si="49"/>
        <v>9.6077127684167003</v>
      </c>
      <c r="D331" s="21">
        <f t="shared" ca="1" si="56"/>
        <v>9.6077127684167003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12.319313699089989</v>
      </c>
      <c r="C332" s="20">
        <f t="shared" ca="1" si="49"/>
        <v>10.377776317020027</v>
      </c>
      <c r="D332" s="21">
        <f t="shared" ref="D332:G351" ca="1" si="59">IF(AND(ISNUMBER($D$1),$F$1&gt;0,ISNUMBER(D$11),D$11&lt;=$H$1),_xlfn.NORM.INV(RAND(),$D$1,SQRT($F$1)),"")</f>
        <v>10.377776317020027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10.18766415100009</v>
      </c>
      <c r="C333" s="20">
        <f t="shared" ref="C333:C396" ca="1" si="62">IF(AND($H$1&gt;=1,ISNUMBER(D333)),AVERAGE(D333:W333),"")</f>
        <v>8.301428579015715</v>
      </c>
      <c r="D333" s="21">
        <f t="shared" ca="1" si="59"/>
        <v>8.301428579015715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9.8245529281257689</v>
      </c>
      <c r="C334" s="20">
        <f t="shared" ca="1" si="62"/>
        <v>9.1631431937738341</v>
      </c>
      <c r="D334" s="21">
        <f t="shared" ca="1" si="59"/>
        <v>9.1631431937738341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5.9277567346075024</v>
      </c>
      <c r="C335" s="20">
        <f t="shared" ca="1" si="62"/>
        <v>7.4785158605729567</v>
      </c>
      <c r="D335" s="21">
        <f t="shared" ca="1" si="59"/>
        <v>7.4785158605729567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11.43006843325924</v>
      </c>
      <c r="C336" s="20">
        <f t="shared" ca="1" si="62"/>
        <v>10.668775442075933</v>
      </c>
      <c r="D336" s="21">
        <f t="shared" ca="1" si="59"/>
        <v>10.668775442075933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10.119036641295203</v>
      </c>
      <c r="C337" s="20">
        <f t="shared" ca="1" si="62"/>
        <v>8.6595537551851294</v>
      </c>
      <c r="D337" s="21">
        <f t="shared" ca="1" si="59"/>
        <v>8.6595537551851294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7.8631193306060165</v>
      </c>
      <c r="C338" s="20">
        <f t="shared" ca="1" si="62"/>
        <v>10.41660075323068</v>
      </c>
      <c r="D338" s="21">
        <f t="shared" ca="1" si="59"/>
        <v>10.41660075323068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9.1347521221046986</v>
      </c>
      <c r="C339" s="20">
        <f t="shared" ca="1" si="62"/>
        <v>10.558667435759471</v>
      </c>
      <c r="D339" s="21">
        <f t="shared" ca="1" si="59"/>
        <v>10.558667435759471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9.2660889336071115</v>
      </c>
      <c r="C340" s="20">
        <f t="shared" ca="1" si="62"/>
        <v>13.406275652170779</v>
      </c>
      <c r="D340" s="21">
        <f t="shared" ca="1" si="59"/>
        <v>13.406275652170779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11.941423779233112</v>
      </c>
      <c r="C341" s="20">
        <f t="shared" ca="1" si="62"/>
        <v>10.259381156350941</v>
      </c>
      <c r="D341" s="21">
        <f t="shared" ca="1" si="59"/>
        <v>10.259381156350941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7.0476914970022309</v>
      </c>
      <c r="C342" s="20">
        <f t="shared" ca="1" si="62"/>
        <v>9.7056596847108967</v>
      </c>
      <c r="D342" s="21">
        <f t="shared" ca="1" si="59"/>
        <v>9.7056596847108967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8.2988264015122315</v>
      </c>
      <c r="C343" s="20">
        <f t="shared" ca="1" si="62"/>
        <v>9.9056890257137731</v>
      </c>
      <c r="D343" s="21">
        <f t="shared" ca="1" si="59"/>
        <v>9.9056890257137731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11.448228083037872</v>
      </c>
      <c r="C344" s="20">
        <f t="shared" ca="1" si="62"/>
        <v>9.7081786408841815</v>
      </c>
      <c r="D344" s="21">
        <f t="shared" ca="1" si="59"/>
        <v>9.7081786408841815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5.9507107809627318</v>
      </c>
      <c r="C345" s="20">
        <f t="shared" ca="1" si="62"/>
        <v>10.174871778224629</v>
      </c>
      <c r="D345" s="21">
        <f t="shared" ca="1" si="59"/>
        <v>10.174871778224629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11.122322179067238</v>
      </c>
      <c r="C346" s="20">
        <f t="shared" ca="1" si="62"/>
        <v>12.066374655638455</v>
      </c>
      <c r="D346" s="21">
        <f t="shared" ca="1" si="59"/>
        <v>12.066374655638455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8.231308652411272</v>
      </c>
      <c r="C347" s="20">
        <f t="shared" ca="1" si="62"/>
        <v>8.3433657993780237</v>
      </c>
      <c r="D347" s="21">
        <f t="shared" ca="1" si="59"/>
        <v>8.3433657993780237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10.668587748981716</v>
      </c>
      <c r="C348" s="20">
        <f t="shared" ca="1" si="62"/>
        <v>7.7828070434083356</v>
      </c>
      <c r="D348" s="21">
        <f t="shared" ca="1" si="59"/>
        <v>7.7828070434083356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12.772583088466194</v>
      </c>
      <c r="C349" s="20">
        <f t="shared" ca="1" si="62"/>
        <v>8.5801659212755297</v>
      </c>
      <c r="D349" s="21">
        <f t="shared" ca="1" si="59"/>
        <v>8.5801659212755297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11.945451479308947</v>
      </c>
      <c r="C350" s="20">
        <f t="shared" ca="1" si="62"/>
        <v>9.9019525586651476</v>
      </c>
      <c r="D350" s="21">
        <f t="shared" ca="1" si="59"/>
        <v>9.9019525586651476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10.778787304298408</v>
      </c>
      <c r="C351" s="20">
        <f t="shared" ca="1" si="62"/>
        <v>8.4786478652802071</v>
      </c>
      <c r="D351" s="21">
        <f t="shared" ca="1" si="59"/>
        <v>8.4786478652802071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13.801811858660546</v>
      </c>
      <c r="C352" s="20">
        <f t="shared" ca="1" si="62"/>
        <v>8.4448635005375916</v>
      </c>
      <c r="D352" s="21">
        <f t="shared" ref="D352:G371" ca="1" si="64">IF(AND(ISNUMBER($D$1),$F$1&gt;0,ISNUMBER(D$11),D$11&lt;=$H$1),_xlfn.NORM.INV(RAND(),$D$1,SQRT($F$1)),"")</f>
        <v>8.4448635005375916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5.6948460331624933</v>
      </c>
      <c r="C353" s="20">
        <f t="shared" ca="1" si="62"/>
        <v>9.2607866787692679</v>
      </c>
      <c r="D353" s="21">
        <f t="shared" ca="1" si="64"/>
        <v>9.2607866787692679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8.921657143450183</v>
      </c>
      <c r="C354" s="20">
        <f t="shared" ca="1" si="62"/>
        <v>11.707337146433717</v>
      </c>
      <c r="D354" s="21">
        <f t="shared" ca="1" si="64"/>
        <v>11.707337146433717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11.893783955093221</v>
      </c>
      <c r="C355" s="20">
        <f t="shared" ca="1" si="62"/>
        <v>9.7103092019256074</v>
      </c>
      <c r="D355" s="21">
        <f t="shared" ca="1" si="64"/>
        <v>9.7103092019256074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12.557336762468021</v>
      </c>
      <c r="C356" s="20">
        <f t="shared" ca="1" si="62"/>
        <v>8.9894012945982311</v>
      </c>
      <c r="D356" s="21">
        <f t="shared" ca="1" si="64"/>
        <v>8.9894012945982311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14.603883589596487</v>
      </c>
      <c r="C357" s="20">
        <f t="shared" ca="1" si="62"/>
        <v>9.0222319110794196</v>
      </c>
      <c r="D357" s="21">
        <f t="shared" ca="1" si="64"/>
        <v>9.0222319110794196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6.920921411500359</v>
      </c>
      <c r="C358" s="20">
        <f t="shared" ca="1" si="62"/>
        <v>10.722829679714167</v>
      </c>
      <c r="D358" s="21">
        <f t="shared" ca="1" si="64"/>
        <v>10.722829679714167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11.287672811273749</v>
      </c>
      <c r="C359" s="20">
        <f t="shared" ca="1" si="62"/>
        <v>8.8060343609365823</v>
      </c>
      <c r="D359" s="21">
        <f t="shared" ca="1" si="64"/>
        <v>8.8060343609365823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12.046985592984154</v>
      </c>
      <c r="C360" s="20">
        <f t="shared" ca="1" si="62"/>
        <v>9.1644340313686961</v>
      </c>
      <c r="D360" s="21">
        <f t="shared" ca="1" si="64"/>
        <v>9.1644340313686961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11.38101317060438</v>
      </c>
      <c r="C361" s="20">
        <f t="shared" ca="1" si="62"/>
        <v>8.7587981180610601</v>
      </c>
      <c r="D361" s="21">
        <f t="shared" ca="1" si="64"/>
        <v>8.7587981180610601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6.0204821354888338</v>
      </c>
      <c r="C362" s="20">
        <f t="shared" ca="1" si="62"/>
        <v>9.7245007013333833</v>
      </c>
      <c r="D362" s="21">
        <f t="shared" ca="1" si="64"/>
        <v>9.7245007013333833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7.559462238872845</v>
      </c>
      <c r="C363" s="20">
        <f t="shared" ca="1" si="62"/>
        <v>9.836431502219007</v>
      </c>
      <c r="D363" s="21">
        <f t="shared" ca="1" si="64"/>
        <v>9.836431502219007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8.2616021344836135</v>
      </c>
      <c r="C364" s="20">
        <f t="shared" ca="1" si="62"/>
        <v>8.4785706881936189</v>
      </c>
      <c r="D364" s="21">
        <f t="shared" ca="1" si="64"/>
        <v>8.4785706881936189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11.796433666553879</v>
      </c>
      <c r="C365" s="20">
        <f t="shared" ca="1" si="62"/>
        <v>8.7113872565602666</v>
      </c>
      <c r="D365" s="21">
        <f t="shared" ca="1" si="64"/>
        <v>8.7113872565602666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7.6934249519321565</v>
      </c>
      <c r="C366" s="20">
        <f t="shared" ca="1" si="62"/>
        <v>9.1121940874672518</v>
      </c>
      <c r="D366" s="21">
        <f t="shared" ca="1" si="64"/>
        <v>9.1121940874672518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12.802225197506759</v>
      </c>
      <c r="C367" s="20">
        <f t="shared" ca="1" si="62"/>
        <v>9.86576679598749</v>
      </c>
      <c r="D367" s="21">
        <f t="shared" ca="1" si="64"/>
        <v>9.86576679598749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7.7640141021884848</v>
      </c>
      <c r="C368" s="20">
        <f t="shared" ca="1" si="62"/>
        <v>11.152603161113733</v>
      </c>
      <c r="D368" s="21">
        <f t="shared" ca="1" si="64"/>
        <v>11.152603161113733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8.9844057480750799</v>
      </c>
      <c r="C369" s="20">
        <f t="shared" ca="1" si="62"/>
        <v>7.8110542328476651</v>
      </c>
      <c r="D369" s="21">
        <f t="shared" ca="1" si="64"/>
        <v>7.8110542328476651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10.447366987129808</v>
      </c>
      <c r="C370" s="20">
        <f t="shared" ca="1" si="62"/>
        <v>7.4768278913381794</v>
      </c>
      <c r="D370" s="21">
        <f t="shared" ca="1" si="64"/>
        <v>7.4768278913381794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10.330533599113807</v>
      </c>
      <c r="C371" s="20">
        <f t="shared" ca="1" si="62"/>
        <v>12.280529868351135</v>
      </c>
      <c r="D371" s="21">
        <f t="shared" ca="1" si="64"/>
        <v>12.280529868351135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14.185974795379284</v>
      </c>
      <c r="C372" s="20">
        <f t="shared" ca="1" si="62"/>
        <v>9.7541779489413152</v>
      </c>
      <c r="D372" s="21">
        <f t="shared" ref="D372:G391" ca="1" si="67">IF(AND(ISNUMBER($D$1),$F$1&gt;0,ISNUMBER(D$11),D$11&lt;=$H$1),_xlfn.NORM.INV(RAND(),$D$1,SQRT($F$1)),"")</f>
        <v>9.7541779489413152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9.7480967333104402</v>
      </c>
      <c r="C373" s="20">
        <f t="shared" ca="1" si="62"/>
        <v>11.632921804886408</v>
      </c>
      <c r="D373" s="21">
        <f t="shared" ca="1" si="67"/>
        <v>11.632921804886408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9.0163904519956812</v>
      </c>
      <c r="C374" s="20">
        <f t="shared" ca="1" si="62"/>
        <v>8.4223713546059926</v>
      </c>
      <c r="D374" s="21">
        <f t="shared" ca="1" si="67"/>
        <v>8.4223713546059926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13.506077392484423</v>
      </c>
      <c r="C375" s="20">
        <f t="shared" ca="1" si="62"/>
        <v>9.5375539805833291</v>
      </c>
      <c r="D375" s="21">
        <f t="shared" ca="1" si="67"/>
        <v>9.5375539805833291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13.28028262281614</v>
      </c>
      <c r="C376" s="20">
        <f t="shared" ca="1" si="62"/>
        <v>8.0932332010659227</v>
      </c>
      <c r="D376" s="21">
        <f t="shared" ca="1" si="67"/>
        <v>8.0932332010659227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8.7725202066934358</v>
      </c>
      <c r="C377" s="20">
        <f t="shared" ca="1" si="62"/>
        <v>7.1613223943570503</v>
      </c>
      <c r="D377" s="21">
        <f t="shared" ca="1" si="67"/>
        <v>7.1613223943570503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11.257085805541518</v>
      </c>
      <c r="C378" s="20">
        <f t="shared" ca="1" si="62"/>
        <v>10.840780927544563</v>
      </c>
      <c r="D378" s="21">
        <f t="shared" ca="1" si="67"/>
        <v>10.840780927544563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8.9990134369399062</v>
      </c>
      <c r="C379" s="20">
        <f t="shared" ca="1" si="62"/>
        <v>9.2597647390273696</v>
      </c>
      <c r="D379" s="21">
        <f t="shared" ca="1" si="67"/>
        <v>9.2597647390273696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8.7049950291907674</v>
      </c>
      <c r="C380" s="20">
        <f t="shared" ca="1" si="62"/>
        <v>10.883483045712756</v>
      </c>
      <c r="D380" s="21">
        <f t="shared" ca="1" si="67"/>
        <v>10.883483045712756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9.9026893314065152</v>
      </c>
      <c r="C381" s="20">
        <f t="shared" ca="1" si="62"/>
        <v>6.6073443372190521</v>
      </c>
      <c r="D381" s="21">
        <f t="shared" ca="1" si="67"/>
        <v>6.6073443372190521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10.290633252261349</v>
      </c>
      <c r="C382" s="20">
        <f t="shared" ca="1" si="62"/>
        <v>8.9225645386154806</v>
      </c>
      <c r="D382" s="21">
        <f t="shared" ca="1" si="67"/>
        <v>8.9225645386154806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7.7692060412973003</v>
      </c>
      <c r="C383" s="20">
        <f t="shared" ca="1" si="62"/>
        <v>11.643875163079318</v>
      </c>
      <c r="D383" s="21">
        <f t="shared" ca="1" si="67"/>
        <v>11.643875163079318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6.4526980991090044</v>
      </c>
      <c r="C384" s="20">
        <f t="shared" ca="1" si="62"/>
        <v>11.380686048164517</v>
      </c>
      <c r="D384" s="21">
        <f t="shared" ca="1" si="67"/>
        <v>11.380686048164517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5.5625657068560725</v>
      </c>
      <c r="C385" s="20">
        <f t="shared" ca="1" si="62"/>
        <v>4.0189410235714575</v>
      </c>
      <c r="D385" s="21">
        <f t="shared" ca="1" si="67"/>
        <v>4.0189410235714575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9.8820227669900973</v>
      </c>
      <c r="C386" s="20">
        <f t="shared" ca="1" si="62"/>
        <v>7.6633671042040472</v>
      </c>
      <c r="D386" s="21">
        <f t="shared" ca="1" si="67"/>
        <v>7.6633671042040472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7.7925785840345103</v>
      </c>
      <c r="C387" s="20">
        <f t="shared" ca="1" si="62"/>
        <v>10.030518816682394</v>
      </c>
      <c r="D387" s="21">
        <f t="shared" ca="1" si="67"/>
        <v>10.030518816682394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12.013040820191115</v>
      </c>
      <c r="C388" s="20">
        <f t="shared" ca="1" si="62"/>
        <v>10.614568528474328</v>
      </c>
      <c r="D388" s="21">
        <f t="shared" ca="1" si="67"/>
        <v>10.614568528474328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12.121318925081333</v>
      </c>
      <c r="C389" s="20">
        <f t="shared" ca="1" si="62"/>
        <v>9.0030412475497315</v>
      </c>
      <c r="D389" s="21">
        <f t="shared" ca="1" si="67"/>
        <v>9.0030412475497315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9.3910507563635228</v>
      </c>
      <c r="C390" s="20">
        <f t="shared" ca="1" si="62"/>
        <v>9.9433315221180347</v>
      </c>
      <c r="D390" s="21">
        <f t="shared" ca="1" si="67"/>
        <v>9.9433315221180347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10.249795008061833</v>
      </c>
      <c r="C391" s="20">
        <f t="shared" ca="1" si="62"/>
        <v>13.460548053268557</v>
      </c>
      <c r="D391" s="21">
        <f t="shared" ca="1" si="67"/>
        <v>13.460548053268557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8.808012055764852</v>
      </c>
      <c r="C392" s="20">
        <f t="shared" ca="1" si="62"/>
        <v>6.5820809973748569</v>
      </c>
      <c r="D392" s="21">
        <f t="shared" ref="D392:G411" ca="1" si="70">IF(AND(ISNUMBER($D$1),$F$1&gt;0,ISNUMBER(D$11),D$11&lt;=$H$1),_xlfn.NORM.INV(RAND(),$D$1,SQRT($F$1)),"")</f>
        <v>6.5820809973748569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14.045242000476154</v>
      </c>
      <c r="C393" s="20">
        <f t="shared" ca="1" si="62"/>
        <v>11.707406341236618</v>
      </c>
      <c r="D393" s="21">
        <f t="shared" ca="1" si="70"/>
        <v>11.707406341236618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8.0503574099410145</v>
      </c>
      <c r="C394" s="20">
        <f t="shared" ca="1" si="62"/>
        <v>14.220498375483388</v>
      </c>
      <c r="D394" s="21">
        <f t="shared" ca="1" si="70"/>
        <v>14.220498375483388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5.8854452357792031</v>
      </c>
      <c r="C395" s="20">
        <f t="shared" ca="1" si="62"/>
        <v>8.1036548262552763</v>
      </c>
      <c r="D395" s="21">
        <f t="shared" ca="1" si="70"/>
        <v>8.1036548262552763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6.325594071168819</v>
      </c>
      <c r="C396" s="20">
        <f t="shared" ca="1" si="62"/>
        <v>10.390602441320562</v>
      </c>
      <c r="D396" s="21">
        <f t="shared" ca="1" si="70"/>
        <v>10.390602441320562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12.285228421814507</v>
      </c>
      <c r="C397" s="20">
        <f t="shared" ref="C397:C460" ca="1" si="73">IF(AND($H$1&gt;=1,ISNUMBER(D397)),AVERAGE(D397:W397),"")</f>
        <v>8.1460794128387111</v>
      </c>
      <c r="D397" s="21">
        <f t="shared" ca="1" si="70"/>
        <v>8.1460794128387111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9.9587611964172886</v>
      </c>
      <c r="C398" s="20">
        <f t="shared" ca="1" si="73"/>
        <v>8.1364705882645971</v>
      </c>
      <c r="D398" s="21">
        <f t="shared" ca="1" si="70"/>
        <v>8.1364705882645971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13.012665532785899</v>
      </c>
      <c r="C399" s="20">
        <f t="shared" ca="1" si="73"/>
        <v>10.378314934482914</v>
      </c>
      <c r="D399" s="21">
        <f t="shared" ca="1" si="70"/>
        <v>10.378314934482914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12.964080890310704</v>
      </c>
      <c r="C400" s="20">
        <f t="shared" ca="1" si="73"/>
        <v>12.241601980939796</v>
      </c>
      <c r="D400" s="21">
        <f t="shared" ca="1" si="70"/>
        <v>12.241601980939796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8.8946694135621822</v>
      </c>
      <c r="C401" s="20">
        <f t="shared" ca="1" si="73"/>
        <v>14.247740344315638</v>
      </c>
      <c r="D401" s="21">
        <f t="shared" ca="1" si="70"/>
        <v>14.247740344315638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12.287329909036572</v>
      </c>
      <c r="C402" s="20">
        <f t="shared" ca="1" si="73"/>
        <v>8.3011296417857956</v>
      </c>
      <c r="D402" s="21">
        <f t="shared" ca="1" si="70"/>
        <v>8.3011296417857956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9.7788141459707951</v>
      </c>
      <c r="C403" s="20">
        <f t="shared" ca="1" si="73"/>
        <v>7.4878209329080399</v>
      </c>
      <c r="D403" s="21">
        <f t="shared" ca="1" si="70"/>
        <v>7.4878209329080399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6.9799699181295392</v>
      </c>
      <c r="C404" s="20">
        <f t="shared" ca="1" si="73"/>
        <v>12.639694808618852</v>
      </c>
      <c r="D404" s="21">
        <f t="shared" ca="1" si="70"/>
        <v>12.639694808618852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12.270786298199456</v>
      </c>
      <c r="C405" s="20">
        <f t="shared" ca="1" si="73"/>
        <v>12.49698425849064</v>
      </c>
      <c r="D405" s="21">
        <f t="shared" ca="1" si="70"/>
        <v>12.49698425849064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10.960415669024739</v>
      </c>
      <c r="C406" s="20">
        <f t="shared" ca="1" si="73"/>
        <v>10.426011414474258</v>
      </c>
      <c r="D406" s="21">
        <f t="shared" ca="1" si="70"/>
        <v>10.426011414474258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13.942204474603047</v>
      </c>
      <c r="C407" s="20">
        <f t="shared" ca="1" si="73"/>
        <v>7.2419541956137579</v>
      </c>
      <c r="D407" s="21">
        <f t="shared" ca="1" si="70"/>
        <v>7.2419541956137579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8.8544617196278246</v>
      </c>
      <c r="C408" s="20">
        <f t="shared" ca="1" si="73"/>
        <v>9.099212630412028</v>
      </c>
      <c r="D408" s="21">
        <f t="shared" ca="1" si="70"/>
        <v>9.099212630412028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12.459645567036896</v>
      </c>
      <c r="C409" s="20">
        <f t="shared" ca="1" si="73"/>
        <v>5.4813746177309275</v>
      </c>
      <c r="D409" s="21">
        <f t="shared" ca="1" si="70"/>
        <v>5.4813746177309275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10.196344291230426</v>
      </c>
      <c r="C410" s="20">
        <f t="shared" ca="1" si="73"/>
        <v>9.7778062428383503</v>
      </c>
      <c r="D410" s="21">
        <f t="shared" ca="1" si="70"/>
        <v>9.7778062428383503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6.0325795096216233</v>
      </c>
      <c r="C411" s="20">
        <f t="shared" ca="1" si="73"/>
        <v>8.7761620211075719</v>
      </c>
      <c r="D411" s="21">
        <f t="shared" ca="1" si="70"/>
        <v>8.7761620211075719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8.875434051946586</v>
      </c>
      <c r="C412" s="20">
        <f t="shared" ca="1" si="73"/>
        <v>8.7882686685042426</v>
      </c>
      <c r="D412" s="21">
        <f t="shared" ref="D412:G431" ca="1" si="75">IF(AND(ISNUMBER($D$1),$F$1&gt;0,ISNUMBER(D$11),D$11&lt;=$H$1),_xlfn.NORM.INV(RAND(),$D$1,SQRT($F$1)),"")</f>
        <v>8.7882686685042426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10.684004355141619</v>
      </c>
      <c r="C413" s="20">
        <f t="shared" ca="1" si="73"/>
        <v>8.7400309885109255</v>
      </c>
      <c r="D413" s="21">
        <f t="shared" ca="1" si="75"/>
        <v>8.7400309885109255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11.991506662999633</v>
      </c>
      <c r="C414" s="20">
        <f t="shared" ca="1" si="73"/>
        <v>9.6532949947860978</v>
      </c>
      <c r="D414" s="21">
        <f t="shared" ca="1" si="75"/>
        <v>9.6532949947860978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8.906526078633533</v>
      </c>
      <c r="C415" s="20">
        <f t="shared" ca="1" si="73"/>
        <v>9.1700198206472603</v>
      </c>
      <c r="D415" s="21">
        <f t="shared" ca="1" si="75"/>
        <v>9.1700198206472603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8.4857661867993208</v>
      </c>
      <c r="C416" s="20">
        <f t="shared" ca="1" si="73"/>
        <v>13.286006366762681</v>
      </c>
      <c r="D416" s="21">
        <f t="shared" ca="1" si="75"/>
        <v>13.286006366762681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6.093532884517975</v>
      </c>
      <c r="C417" s="20">
        <f t="shared" ca="1" si="73"/>
        <v>7.7038696736925907</v>
      </c>
      <c r="D417" s="21">
        <f t="shared" ca="1" si="75"/>
        <v>7.7038696736925907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8.738645387790255</v>
      </c>
      <c r="C418" s="20">
        <f t="shared" ca="1" si="73"/>
        <v>10.699036503458281</v>
      </c>
      <c r="D418" s="21">
        <f t="shared" ca="1" si="75"/>
        <v>10.699036503458281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12.148764118865708</v>
      </c>
      <c r="C419" s="20">
        <f t="shared" ca="1" si="73"/>
        <v>9.8088823071492612</v>
      </c>
      <c r="D419" s="21">
        <f t="shared" ca="1" si="75"/>
        <v>9.8088823071492612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11.506252970529326</v>
      </c>
      <c r="C420" s="20">
        <f t="shared" ca="1" si="73"/>
        <v>7.5961642163596821</v>
      </c>
      <c r="D420" s="21">
        <f t="shared" ca="1" si="75"/>
        <v>7.5961642163596821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7.3855763413895517</v>
      </c>
      <c r="C421" s="20">
        <f t="shared" ca="1" si="73"/>
        <v>11.729539317323498</v>
      </c>
      <c r="D421" s="21">
        <f t="shared" ca="1" si="75"/>
        <v>11.729539317323498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10.927161767215772</v>
      </c>
      <c r="C422" s="20">
        <f t="shared" ca="1" si="73"/>
        <v>9.6780059360679189</v>
      </c>
      <c r="D422" s="21">
        <f t="shared" ca="1" si="75"/>
        <v>9.6780059360679189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13.968277343537352</v>
      </c>
      <c r="C423" s="20">
        <f t="shared" ca="1" si="73"/>
        <v>4.7126405659065105</v>
      </c>
      <c r="D423" s="21">
        <f t="shared" ca="1" si="75"/>
        <v>4.7126405659065105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4.8969760315764921</v>
      </c>
      <c r="C424" s="20">
        <f t="shared" ca="1" si="73"/>
        <v>6.8455063654180446</v>
      </c>
      <c r="D424" s="21">
        <f t="shared" ca="1" si="75"/>
        <v>6.8455063654180446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10.997501761139272</v>
      </c>
      <c r="C425" s="20">
        <f t="shared" ca="1" si="73"/>
        <v>13.42682860669586</v>
      </c>
      <c r="D425" s="21">
        <f t="shared" ca="1" si="75"/>
        <v>13.42682860669586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12.48737138053718</v>
      </c>
      <c r="C426" s="20">
        <f t="shared" ca="1" si="73"/>
        <v>10.278697717696316</v>
      </c>
      <c r="D426" s="21">
        <f t="shared" ca="1" si="75"/>
        <v>10.278697717696316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8.2724841653262082</v>
      </c>
      <c r="C427" s="20">
        <f t="shared" ca="1" si="73"/>
        <v>12.096220982375929</v>
      </c>
      <c r="D427" s="21">
        <f t="shared" ca="1" si="75"/>
        <v>12.096220982375929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13.114477111846055</v>
      </c>
      <c r="C428" s="20">
        <f t="shared" ca="1" si="73"/>
        <v>8.2590895401258884</v>
      </c>
      <c r="D428" s="21">
        <f t="shared" ca="1" si="75"/>
        <v>8.2590895401258884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9.9347197017475271</v>
      </c>
      <c r="C429" s="20">
        <f t="shared" ca="1" si="73"/>
        <v>8.4412472933355076</v>
      </c>
      <c r="D429" s="21">
        <f t="shared" ca="1" si="75"/>
        <v>8.4412472933355076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10.44489665171405</v>
      </c>
      <c r="C430" s="20">
        <f t="shared" ca="1" si="73"/>
        <v>9.4321899046592996</v>
      </c>
      <c r="D430" s="21">
        <f t="shared" ca="1" si="75"/>
        <v>9.4321899046592996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10.055882391160024</v>
      </c>
      <c r="C431" s="20">
        <f t="shared" ca="1" si="73"/>
        <v>10.704259091929435</v>
      </c>
      <c r="D431" s="21">
        <f t="shared" ca="1" si="75"/>
        <v>10.704259091929435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10.69736783950173</v>
      </c>
      <c r="C432" s="20">
        <f t="shared" ca="1" si="73"/>
        <v>9.5111149798529393</v>
      </c>
      <c r="D432" s="21">
        <f t="shared" ref="D432:G451" ca="1" si="78">IF(AND(ISNUMBER($D$1),$F$1&gt;0,ISNUMBER(D$11),D$11&lt;=$H$1),_xlfn.NORM.INV(RAND(),$D$1,SQRT($F$1)),"")</f>
        <v>9.5111149798529393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7.5757741286138822</v>
      </c>
      <c r="C433" s="20">
        <f t="shared" ca="1" si="73"/>
        <v>10.629906154620755</v>
      </c>
      <c r="D433" s="21">
        <f t="shared" ca="1" si="78"/>
        <v>10.629906154620755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12.343350582702865</v>
      </c>
      <c r="C434" s="20">
        <f t="shared" ca="1" si="73"/>
        <v>7.6704154606466624</v>
      </c>
      <c r="D434" s="21">
        <f t="shared" ca="1" si="78"/>
        <v>7.6704154606466624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11.892111295298379</v>
      </c>
      <c r="C435" s="20">
        <f t="shared" ca="1" si="73"/>
        <v>6.8014207140763281</v>
      </c>
      <c r="D435" s="21">
        <f t="shared" ca="1" si="78"/>
        <v>6.8014207140763281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9.0735578556264187</v>
      </c>
      <c r="C436" s="20">
        <f t="shared" ca="1" si="73"/>
        <v>9.3500654587255383</v>
      </c>
      <c r="D436" s="21">
        <f t="shared" ca="1" si="78"/>
        <v>9.3500654587255383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8.2215897257938657</v>
      </c>
      <c r="C437" s="20">
        <f t="shared" ca="1" si="73"/>
        <v>9.6388680236490494</v>
      </c>
      <c r="D437" s="21">
        <f t="shared" ca="1" si="78"/>
        <v>9.6388680236490494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12.364245099639358</v>
      </c>
      <c r="C438" s="20">
        <f t="shared" ca="1" si="73"/>
        <v>13.424011875007112</v>
      </c>
      <c r="D438" s="21">
        <f t="shared" ca="1" si="78"/>
        <v>13.424011875007112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12.08764697882833</v>
      </c>
      <c r="C439" s="20">
        <f t="shared" ca="1" si="73"/>
        <v>12.560311359927269</v>
      </c>
      <c r="D439" s="21">
        <f t="shared" ca="1" si="78"/>
        <v>12.560311359927269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8.6696720953623512</v>
      </c>
      <c r="C440" s="20">
        <f t="shared" ca="1" si="73"/>
        <v>11.562777296016192</v>
      </c>
      <c r="D440" s="21">
        <f t="shared" ca="1" si="78"/>
        <v>11.562777296016192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9.458560737890938</v>
      </c>
      <c r="C441" s="20">
        <f t="shared" ca="1" si="73"/>
        <v>9.6385590748004208</v>
      </c>
      <c r="D441" s="21">
        <f t="shared" ca="1" si="78"/>
        <v>9.6385590748004208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14.566625611269078</v>
      </c>
      <c r="C442" s="20">
        <f t="shared" ca="1" si="73"/>
        <v>9.718434063213568</v>
      </c>
      <c r="D442" s="21">
        <f t="shared" ca="1" si="78"/>
        <v>9.718434063213568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9.5341057573280708</v>
      </c>
      <c r="C443" s="20">
        <f t="shared" ca="1" si="73"/>
        <v>9.974378891697004</v>
      </c>
      <c r="D443" s="21">
        <f t="shared" ca="1" si="78"/>
        <v>9.974378891697004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9.1258514802570225</v>
      </c>
      <c r="C444" s="20">
        <f t="shared" ca="1" si="73"/>
        <v>8.4455392880694617</v>
      </c>
      <c r="D444" s="21">
        <f t="shared" ca="1" si="78"/>
        <v>8.4455392880694617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9.9105448484531049</v>
      </c>
      <c r="C445" s="20">
        <f t="shared" ca="1" si="73"/>
        <v>11.841771992202547</v>
      </c>
      <c r="D445" s="21">
        <f t="shared" ca="1" si="78"/>
        <v>11.841771992202547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8.8943186129749385</v>
      </c>
      <c r="C446" s="20">
        <f t="shared" ca="1" si="73"/>
        <v>12.207869332051649</v>
      </c>
      <c r="D446" s="21">
        <f t="shared" ca="1" si="78"/>
        <v>12.207869332051649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7.0450524479829664</v>
      </c>
      <c r="C447" s="20">
        <f t="shared" ca="1" si="73"/>
        <v>10.384685442390756</v>
      </c>
      <c r="D447" s="21">
        <f t="shared" ca="1" si="78"/>
        <v>10.384685442390756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9.2107684396267864</v>
      </c>
      <c r="C448" s="20">
        <f t="shared" ca="1" si="73"/>
        <v>9.4974986479706818</v>
      </c>
      <c r="D448" s="21">
        <f t="shared" ca="1" si="78"/>
        <v>9.4974986479706818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8.1197081197129837</v>
      </c>
      <c r="C449" s="20">
        <f t="shared" ca="1" si="73"/>
        <v>7.5679240732193813</v>
      </c>
      <c r="D449" s="21">
        <f t="shared" ca="1" si="78"/>
        <v>7.5679240732193813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9.652738753043927</v>
      </c>
      <c r="C450" s="20">
        <f t="shared" ca="1" si="73"/>
        <v>12.880777659804352</v>
      </c>
      <c r="D450" s="21">
        <f t="shared" ca="1" si="78"/>
        <v>12.880777659804352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11.361110712295604</v>
      </c>
      <c r="C451" s="20">
        <f t="shared" ca="1" si="73"/>
        <v>9.6859545055677234</v>
      </c>
      <c r="D451" s="21">
        <f t="shared" ca="1" si="78"/>
        <v>9.6859545055677234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12.798413186523311</v>
      </c>
      <c r="C452" s="20">
        <f t="shared" ca="1" si="73"/>
        <v>9.9262677135445365</v>
      </c>
      <c r="D452" s="21">
        <f t="shared" ref="D452:G471" ca="1" si="81">IF(AND(ISNUMBER($D$1),$F$1&gt;0,ISNUMBER(D$11),D$11&lt;=$H$1),_xlfn.NORM.INV(RAND(),$D$1,SQRT($F$1)),"")</f>
        <v>9.9262677135445365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12.865468712485532</v>
      </c>
      <c r="C453" s="20">
        <f t="shared" ca="1" si="73"/>
        <v>8.6417791713145071</v>
      </c>
      <c r="D453" s="21">
        <f t="shared" ca="1" si="81"/>
        <v>8.6417791713145071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8.3815941223834578</v>
      </c>
      <c r="C454" s="20">
        <f t="shared" ca="1" si="73"/>
        <v>6.6562294607222059</v>
      </c>
      <c r="D454" s="21">
        <f t="shared" ca="1" si="81"/>
        <v>6.6562294607222059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7.9196328681778203</v>
      </c>
      <c r="C455" s="20">
        <f t="shared" ca="1" si="73"/>
        <v>11.428348544239283</v>
      </c>
      <c r="D455" s="21">
        <f t="shared" ca="1" si="81"/>
        <v>11.428348544239283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6.5913000247861859</v>
      </c>
      <c r="C456" s="20">
        <f t="shared" ca="1" si="73"/>
        <v>10.113144468558017</v>
      </c>
      <c r="D456" s="21">
        <f t="shared" ca="1" si="81"/>
        <v>10.113144468558017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6.0497851560783644</v>
      </c>
      <c r="C457" s="20">
        <f t="shared" ca="1" si="73"/>
        <v>9.180696975539739</v>
      </c>
      <c r="D457" s="21">
        <f t="shared" ca="1" si="81"/>
        <v>9.180696975539739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12.775535812108934</v>
      </c>
      <c r="C458" s="20">
        <f t="shared" ca="1" si="73"/>
        <v>8.865654817907771</v>
      </c>
      <c r="D458" s="21">
        <f t="shared" ca="1" si="81"/>
        <v>8.865654817907771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11.050141951508074</v>
      </c>
      <c r="C459" s="20">
        <f t="shared" ca="1" si="73"/>
        <v>6.9524823410614776</v>
      </c>
      <c r="D459" s="21">
        <f t="shared" ca="1" si="81"/>
        <v>6.9524823410614776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9.5612716819488455</v>
      </c>
      <c r="C460" s="20">
        <f t="shared" ca="1" si="73"/>
        <v>11.947229409214073</v>
      </c>
      <c r="D460" s="21">
        <f t="shared" ca="1" si="81"/>
        <v>11.947229409214073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9.7643363986444687</v>
      </c>
      <c r="C461" s="20">
        <f t="shared" ref="C461:C524" ca="1" si="84">IF(AND($H$1&gt;=1,ISNUMBER(D461)),AVERAGE(D461:W461),"")</f>
        <v>12.427376225813772</v>
      </c>
      <c r="D461" s="21">
        <f t="shared" ca="1" si="81"/>
        <v>12.427376225813772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14.897122286849498</v>
      </c>
      <c r="C462" s="20">
        <f t="shared" ca="1" si="84"/>
        <v>10.999976419648664</v>
      </c>
      <c r="D462" s="21">
        <f t="shared" ca="1" si="81"/>
        <v>10.999976419648664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13.067850970177769</v>
      </c>
      <c r="C463" s="20">
        <f t="shared" ca="1" si="84"/>
        <v>8.0325833058614595</v>
      </c>
      <c r="D463" s="21">
        <f t="shared" ca="1" si="81"/>
        <v>8.0325833058614595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9.7178916338273051</v>
      </c>
      <c r="C464" s="20">
        <f t="shared" ca="1" si="84"/>
        <v>11.575797504884401</v>
      </c>
      <c r="D464" s="21">
        <f t="shared" ca="1" si="81"/>
        <v>11.575797504884401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13.221369654161277</v>
      </c>
      <c r="C465" s="20">
        <f t="shared" ca="1" si="84"/>
        <v>13.505396722668275</v>
      </c>
      <c r="D465" s="21">
        <f t="shared" ca="1" si="81"/>
        <v>13.505396722668275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14.092660885240424</v>
      </c>
      <c r="C466" s="20">
        <f t="shared" ca="1" si="84"/>
        <v>9.8710894728320167</v>
      </c>
      <c r="D466" s="21">
        <f t="shared" ca="1" si="81"/>
        <v>9.8710894728320167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11.603995003106782</v>
      </c>
      <c r="C467" s="20">
        <f t="shared" ca="1" si="84"/>
        <v>13.201147830267853</v>
      </c>
      <c r="D467" s="21">
        <f t="shared" ca="1" si="81"/>
        <v>13.201147830267853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11.132559328555439</v>
      </c>
      <c r="C468" s="20">
        <f t="shared" ca="1" si="84"/>
        <v>12.600661945763187</v>
      </c>
      <c r="D468" s="21">
        <f t="shared" ca="1" si="81"/>
        <v>12.600661945763187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9.4725555635598848</v>
      </c>
      <c r="C469" s="20">
        <f t="shared" ca="1" si="84"/>
        <v>10.420195796421254</v>
      </c>
      <c r="D469" s="21">
        <f t="shared" ca="1" si="81"/>
        <v>10.420195796421254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13.220842095076081</v>
      </c>
      <c r="C470" s="20">
        <f t="shared" ca="1" si="84"/>
        <v>9.5879482586882769</v>
      </c>
      <c r="D470" s="21">
        <f t="shared" ca="1" si="81"/>
        <v>9.5879482586882769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13.457667088163438</v>
      </c>
      <c r="C471" s="20">
        <f t="shared" ca="1" si="84"/>
        <v>8.5722581453544766</v>
      </c>
      <c r="D471" s="21">
        <f t="shared" ca="1" si="81"/>
        <v>8.5722581453544766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6.0460556945912973</v>
      </c>
      <c r="C472" s="20">
        <f t="shared" ca="1" si="84"/>
        <v>10.55779241101515</v>
      </c>
      <c r="D472" s="21">
        <f t="shared" ref="D472:G491" ca="1" si="86">IF(AND(ISNUMBER($D$1),$F$1&gt;0,ISNUMBER(D$11),D$11&lt;=$H$1),_xlfn.NORM.INV(RAND(),$D$1,SQRT($F$1)),"")</f>
        <v>10.55779241101515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8.049864375481631</v>
      </c>
      <c r="C473" s="20">
        <f t="shared" ca="1" si="84"/>
        <v>10.971205844983412</v>
      </c>
      <c r="D473" s="21">
        <f t="shared" ca="1" si="86"/>
        <v>10.971205844983412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10.076295310027401</v>
      </c>
      <c r="C474" s="20">
        <f t="shared" ca="1" si="84"/>
        <v>13.690651697673141</v>
      </c>
      <c r="D474" s="21">
        <f t="shared" ca="1" si="86"/>
        <v>13.690651697673141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12.552684313528211</v>
      </c>
      <c r="C475" s="20">
        <f t="shared" ca="1" si="84"/>
        <v>12.326292224153399</v>
      </c>
      <c r="D475" s="21">
        <f t="shared" ca="1" si="86"/>
        <v>12.326292224153399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14.275855516163798</v>
      </c>
      <c r="C476" s="20">
        <f t="shared" ca="1" si="84"/>
        <v>9.0093160023087382</v>
      </c>
      <c r="D476" s="21">
        <f t="shared" ca="1" si="86"/>
        <v>9.0093160023087382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12.96290151258461</v>
      </c>
      <c r="C477" s="20">
        <f t="shared" ca="1" si="84"/>
        <v>8.8167970329284415</v>
      </c>
      <c r="D477" s="21">
        <f t="shared" ca="1" si="86"/>
        <v>8.8167970329284415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11.967291738968214</v>
      </c>
      <c r="C478" s="20">
        <f t="shared" ca="1" si="84"/>
        <v>12.410786897087908</v>
      </c>
      <c r="D478" s="21">
        <f t="shared" ca="1" si="86"/>
        <v>12.410786897087908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11.031340654529247</v>
      </c>
      <c r="C479" s="20">
        <f t="shared" ca="1" si="84"/>
        <v>8.6884108950391994</v>
      </c>
      <c r="D479" s="21">
        <f t="shared" ca="1" si="86"/>
        <v>8.6884108950391994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10.947182961800827</v>
      </c>
      <c r="C480" s="20">
        <f t="shared" ca="1" si="84"/>
        <v>9.0796463712431592</v>
      </c>
      <c r="D480" s="21">
        <f t="shared" ca="1" si="86"/>
        <v>9.0796463712431592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9.8804580921365908</v>
      </c>
      <c r="C481" s="20">
        <f t="shared" ca="1" si="84"/>
        <v>9.9730889272625909</v>
      </c>
      <c r="D481" s="21">
        <f t="shared" ca="1" si="86"/>
        <v>9.9730889272625909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7.6512389727178931</v>
      </c>
      <c r="C482" s="20">
        <f t="shared" ca="1" si="84"/>
        <v>11.307897907103593</v>
      </c>
      <c r="D482" s="21">
        <f t="shared" ca="1" si="86"/>
        <v>11.307897907103593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7.8535879934214705</v>
      </c>
      <c r="C483" s="20">
        <f t="shared" ca="1" si="84"/>
        <v>11.960579497855605</v>
      </c>
      <c r="D483" s="21">
        <f t="shared" ca="1" si="86"/>
        <v>11.960579497855605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12.101585087542936</v>
      </c>
      <c r="C484" s="20">
        <f t="shared" ca="1" si="84"/>
        <v>9.9147867783086632</v>
      </c>
      <c r="D484" s="21">
        <f t="shared" ca="1" si="86"/>
        <v>9.9147867783086632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10.407088423360387</v>
      </c>
      <c r="C485" s="20">
        <f t="shared" ca="1" si="84"/>
        <v>8.7108234939813212</v>
      </c>
      <c r="D485" s="21">
        <f t="shared" ca="1" si="86"/>
        <v>8.7108234939813212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10.686785463727162</v>
      </c>
      <c r="C486" s="20">
        <f t="shared" ca="1" si="84"/>
        <v>11.327260751110453</v>
      </c>
      <c r="D486" s="21">
        <f t="shared" ca="1" si="86"/>
        <v>11.327260751110453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7.111672587722583</v>
      </c>
      <c r="C487" s="20">
        <f t="shared" ca="1" si="84"/>
        <v>5.218634387351246</v>
      </c>
      <c r="D487" s="21">
        <f t="shared" ca="1" si="86"/>
        <v>5.218634387351246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9.1412107489381338</v>
      </c>
      <c r="C488" s="20">
        <f t="shared" ca="1" si="84"/>
        <v>12.232969610967976</v>
      </c>
      <c r="D488" s="21">
        <f t="shared" ca="1" si="86"/>
        <v>12.232969610967976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9.8266966440047341</v>
      </c>
      <c r="C489" s="20">
        <f t="shared" ca="1" si="84"/>
        <v>12.262374632586582</v>
      </c>
      <c r="D489" s="21">
        <f t="shared" ca="1" si="86"/>
        <v>12.262374632586582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10.152912649859228</v>
      </c>
      <c r="C490" s="20">
        <f t="shared" ca="1" si="84"/>
        <v>11.32582461089444</v>
      </c>
      <c r="D490" s="21">
        <f t="shared" ca="1" si="86"/>
        <v>11.32582461089444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12.589640956475952</v>
      </c>
      <c r="C491" s="20">
        <f t="shared" ca="1" si="84"/>
        <v>11.288934572804003</v>
      </c>
      <c r="D491" s="21">
        <f t="shared" ca="1" si="86"/>
        <v>11.288934572804003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10.518230894925258</v>
      </c>
      <c r="C492" s="20">
        <f t="shared" ca="1" si="84"/>
        <v>7.8977249545153665</v>
      </c>
      <c r="D492" s="21">
        <f t="shared" ref="D492:G511" ca="1" si="89">IF(AND(ISNUMBER($D$1),$F$1&gt;0,ISNUMBER(D$11),D$11&lt;=$H$1),_xlfn.NORM.INV(RAND(),$D$1,SQRT($F$1)),"")</f>
        <v>7.8977249545153665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9.1052978591093918</v>
      </c>
      <c r="C493" s="20">
        <f t="shared" ca="1" si="84"/>
        <v>10.733304634998706</v>
      </c>
      <c r="D493" s="21">
        <f t="shared" ca="1" si="89"/>
        <v>10.733304634998706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8.7761344455939767</v>
      </c>
      <c r="C494" s="20">
        <f t="shared" ca="1" si="84"/>
        <v>10.917536593610945</v>
      </c>
      <c r="D494" s="21">
        <f t="shared" ca="1" si="89"/>
        <v>10.917536593610945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11.388219041799639</v>
      </c>
      <c r="C495" s="20">
        <f t="shared" ca="1" si="84"/>
        <v>9.8071479452419652</v>
      </c>
      <c r="D495" s="21">
        <f t="shared" ca="1" si="89"/>
        <v>9.8071479452419652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11.392661126577654</v>
      </c>
      <c r="C496" s="20">
        <f t="shared" ca="1" si="84"/>
        <v>9.0820689565488699</v>
      </c>
      <c r="D496" s="21">
        <f t="shared" ca="1" si="89"/>
        <v>9.0820689565488699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11.848370295214751</v>
      </c>
      <c r="C497" s="20">
        <f t="shared" ca="1" si="84"/>
        <v>4.2743236896560077</v>
      </c>
      <c r="D497" s="21">
        <f t="shared" ca="1" si="89"/>
        <v>4.2743236896560077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9.538777350788564</v>
      </c>
      <c r="C498" s="20">
        <f t="shared" ca="1" si="84"/>
        <v>12.779209345588121</v>
      </c>
      <c r="D498" s="21">
        <f t="shared" ca="1" si="89"/>
        <v>12.779209345588121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7.5837389691436963</v>
      </c>
      <c r="C499" s="20">
        <f t="shared" ca="1" si="84"/>
        <v>9.6248383560377739</v>
      </c>
      <c r="D499" s="21">
        <f t="shared" ca="1" si="89"/>
        <v>9.6248383560377739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7.5589124553527469</v>
      </c>
      <c r="C500" s="20">
        <f t="shared" ca="1" si="84"/>
        <v>8.7822144689848294</v>
      </c>
      <c r="D500" s="21">
        <f t="shared" ca="1" si="89"/>
        <v>8.7822144689848294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12.631654789593718</v>
      </c>
      <c r="C501" s="20">
        <f t="shared" ca="1" si="84"/>
        <v>7.4541984447782017</v>
      </c>
      <c r="D501" s="21">
        <f t="shared" ca="1" si="89"/>
        <v>7.4541984447782017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10.273480146681619</v>
      </c>
      <c r="C502" s="20">
        <f t="shared" ca="1" si="84"/>
        <v>9.3054802321335099</v>
      </c>
      <c r="D502" s="21">
        <f t="shared" ca="1" si="89"/>
        <v>9.3054802321335099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7.9486742614332933</v>
      </c>
      <c r="C503" s="20">
        <f t="shared" ca="1" si="84"/>
        <v>9.784849089867377</v>
      </c>
      <c r="D503" s="21">
        <f t="shared" ca="1" si="89"/>
        <v>9.784849089867377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10.731989893941366</v>
      </c>
      <c r="C504" s="20">
        <f t="shared" ca="1" si="84"/>
        <v>6.6925256182440886</v>
      </c>
      <c r="D504" s="21">
        <f t="shared" ca="1" si="89"/>
        <v>6.6925256182440886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10.707719678693811</v>
      </c>
      <c r="C505" s="20">
        <f t="shared" ca="1" si="84"/>
        <v>9.1057242280127078</v>
      </c>
      <c r="D505" s="21">
        <f t="shared" ca="1" si="89"/>
        <v>9.1057242280127078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8.2022133474060883</v>
      </c>
      <c r="C506" s="20">
        <f t="shared" ca="1" si="84"/>
        <v>13.95279016570794</v>
      </c>
      <c r="D506" s="21">
        <f t="shared" ca="1" si="89"/>
        <v>13.95279016570794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10.683054354631917</v>
      </c>
      <c r="C507" s="20">
        <f t="shared" ca="1" si="84"/>
        <v>12.209343123506304</v>
      </c>
      <c r="D507" s="21">
        <f t="shared" ca="1" si="89"/>
        <v>12.209343123506304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10.839782098421454</v>
      </c>
      <c r="C508" s="20">
        <f t="shared" ca="1" si="84"/>
        <v>7.1484923939695797</v>
      </c>
      <c r="D508" s="21">
        <f t="shared" ca="1" si="89"/>
        <v>7.1484923939695797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10.148309045208977</v>
      </c>
      <c r="C509" s="20">
        <f t="shared" ca="1" si="84"/>
        <v>10.19389358154984</v>
      </c>
      <c r="D509" s="21">
        <f t="shared" ca="1" si="89"/>
        <v>10.19389358154984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6.6904112047972895</v>
      </c>
      <c r="C510" s="20">
        <f t="shared" ca="1" si="84"/>
        <v>9.3419969400094303</v>
      </c>
      <c r="D510" s="21">
        <f t="shared" ca="1" si="89"/>
        <v>9.3419969400094303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11.039982252610564</v>
      </c>
      <c r="C511" s="20">
        <f t="shared" ca="1" si="84"/>
        <v>6.9000285113042166</v>
      </c>
      <c r="D511" s="21">
        <f t="shared" ca="1" si="89"/>
        <v>6.9000285113042166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9.3905625219990423</v>
      </c>
      <c r="C512" s="20">
        <f t="shared" ca="1" si="84"/>
        <v>13.205784618235889</v>
      </c>
      <c r="D512" s="21">
        <f t="shared" ref="D512:G531" ca="1" si="92">IF(AND(ISNUMBER($D$1),$F$1&gt;0,ISNUMBER(D$11),D$11&lt;=$H$1),_xlfn.NORM.INV(RAND(),$D$1,SQRT($F$1)),"")</f>
        <v>13.205784618235889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13.43980498640436</v>
      </c>
      <c r="C513" s="20">
        <f t="shared" ca="1" si="84"/>
        <v>11.435001402794313</v>
      </c>
      <c r="D513" s="21">
        <f t="shared" ca="1" si="92"/>
        <v>11.435001402794313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11.814787897697649</v>
      </c>
      <c r="C514" s="20">
        <f t="shared" ca="1" si="84"/>
        <v>9.906703357507709</v>
      </c>
      <c r="D514" s="21">
        <f t="shared" ca="1" si="92"/>
        <v>9.906703357507709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14.773459845411002</v>
      </c>
      <c r="C515" s="20">
        <f t="shared" ca="1" si="84"/>
        <v>12.495818285957697</v>
      </c>
      <c r="D515" s="21">
        <f t="shared" ca="1" si="92"/>
        <v>12.495818285957697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10.581981346974631</v>
      </c>
      <c r="C516" s="20">
        <f t="shared" ca="1" si="84"/>
        <v>8.8846636969246262</v>
      </c>
      <c r="D516" s="21">
        <f t="shared" ca="1" si="92"/>
        <v>8.8846636969246262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9.5790502204727872</v>
      </c>
      <c r="C517" s="20">
        <f t="shared" ca="1" si="84"/>
        <v>11.304457747663502</v>
      </c>
      <c r="D517" s="21">
        <f t="shared" ca="1" si="92"/>
        <v>11.304457747663502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12.370984249242639</v>
      </c>
      <c r="C518" s="20">
        <f t="shared" ca="1" si="84"/>
        <v>11.654556449916699</v>
      </c>
      <c r="D518" s="21">
        <f t="shared" ca="1" si="92"/>
        <v>11.654556449916699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11.891660134960713</v>
      </c>
      <c r="C519" s="20">
        <f t="shared" ca="1" si="84"/>
        <v>7.4272620249937766</v>
      </c>
      <c r="D519" s="21">
        <f t="shared" ca="1" si="92"/>
        <v>7.4272620249937766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8.6390215274825533</v>
      </c>
      <c r="C520" s="20">
        <f t="shared" ca="1" si="84"/>
        <v>10.446517868894361</v>
      </c>
      <c r="D520" s="21">
        <f t="shared" ca="1" si="92"/>
        <v>10.446517868894361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13.147530713453596</v>
      </c>
      <c r="C521" s="20">
        <f t="shared" ca="1" si="84"/>
        <v>12.219783556964096</v>
      </c>
      <c r="D521" s="21">
        <f t="shared" ca="1" si="92"/>
        <v>12.219783556964096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10.906939264683629</v>
      </c>
      <c r="C522" s="20">
        <f t="shared" ca="1" si="84"/>
        <v>14.447167988287346</v>
      </c>
      <c r="D522" s="21">
        <f t="shared" ca="1" si="92"/>
        <v>14.447167988287346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11.702059153244717</v>
      </c>
      <c r="C523" s="20">
        <f t="shared" ca="1" si="84"/>
        <v>8.0541045614169207</v>
      </c>
      <c r="D523" s="21">
        <f t="shared" ca="1" si="92"/>
        <v>8.0541045614169207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10.461822180263946</v>
      </c>
      <c r="C524" s="20">
        <f t="shared" ca="1" si="84"/>
        <v>8.2327693942272013</v>
      </c>
      <c r="D524" s="21">
        <f t="shared" ca="1" si="92"/>
        <v>8.2327693942272013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7.0655478418620996</v>
      </c>
      <c r="C525" s="20">
        <f t="shared" ref="C525:C588" ca="1" si="96">IF(AND($H$1&gt;=1,ISNUMBER(D525)),AVERAGE(D525:W525),"")</f>
        <v>7.0849274807252307</v>
      </c>
      <c r="D525" s="21">
        <f t="shared" ca="1" si="92"/>
        <v>7.0849274807252307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10.593731101600987</v>
      </c>
      <c r="C526" s="20">
        <f t="shared" ca="1" si="96"/>
        <v>9.5001249998692234</v>
      </c>
      <c r="D526" s="21">
        <f t="shared" ca="1" si="92"/>
        <v>9.5001249998692234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12.724196101151225</v>
      </c>
      <c r="C527" s="20">
        <f t="shared" ca="1" si="96"/>
        <v>11.383982117478501</v>
      </c>
      <c r="D527" s="21">
        <f t="shared" ca="1" si="92"/>
        <v>11.383982117478501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9.7792923562847136</v>
      </c>
      <c r="C528" s="20">
        <f t="shared" ca="1" si="96"/>
        <v>10.435515364908936</v>
      </c>
      <c r="D528" s="21">
        <f t="shared" ca="1" si="92"/>
        <v>10.435515364908936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9.6441262979007973</v>
      </c>
      <c r="C529" s="20">
        <f t="shared" ca="1" si="96"/>
        <v>10.916196140453058</v>
      </c>
      <c r="D529" s="21">
        <f t="shared" ca="1" si="92"/>
        <v>10.916196140453058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5.2640269582800494</v>
      </c>
      <c r="C530" s="20">
        <f t="shared" ca="1" si="96"/>
        <v>10.9881194235497</v>
      </c>
      <c r="D530" s="21">
        <f t="shared" ca="1" si="92"/>
        <v>10.9881194235497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10.849574000940711</v>
      </c>
      <c r="C531" s="20">
        <f t="shared" ca="1" si="96"/>
        <v>7.706877639123741</v>
      </c>
      <c r="D531" s="21">
        <f t="shared" ca="1" si="92"/>
        <v>7.706877639123741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6.8531716214210538</v>
      </c>
      <c r="C532" s="20">
        <f t="shared" ca="1" si="96"/>
        <v>7.4730397179994892</v>
      </c>
      <c r="D532" s="21">
        <f t="shared" ref="D532:G551" ca="1" si="97">IF(AND(ISNUMBER($D$1),$F$1&gt;0,ISNUMBER(D$11),D$11&lt;=$H$1),_xlfn.NORM.INV(RAND(),$D$1,SQRT($F$1)),"")</f>
        <v>7.4730397179994892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12.423213619988161</v>
      </c>
      <c r="C533" s="20">
        <f t="shared" ca="1" si="96"/>
        <v>9.840143928896822</v>
      </c>
      <c r="D533" s="21">
        <f t="shared" ca="1" si="97"/>
        <v>9.840143928896822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10.616573252659206</v>
      </c>
      <c r="C534" s="20">
        <f t="shared" ca="1" si="96"/>
        <v>12.115053084764774</v>
      </c>
      <c r="D534" s="21">
        <f t="shared" ca="1" si="97"/>
        <v>12.115053084764774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13.870103281191907</v>
      </c>
      <c r="C535" s="20">
        <f t="shared" ca="1" si="96"/>
        <v>10.022219624695261</v>
      </c>
      <c r="D535" s="21">
        <f t="shared" ca="1" si="97"/>
        <v>10.022219624695261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6.4745112912685583</v>
      </c>
      <c r="C536" s="20">
        <f t="shared" ca="1" si="96"/>
        <v>11.861262758815728</v>
      </c>
      <c r="D536" s="21">
        <f t="shared" ca="1" si="97"/>
        <v>11.861262758815728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8.8365203573157292</v>
      </c>
      <c r="C537" s="20">
        <f t="shared" ca="1" si="96"/>
        <v>12.3698311507314</v>
      </c>
      <c r="D537" s="21">
        <f t="shared" ca="1" si="97"/>
        <v>12.3698311507314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7.4151996998141954</v>
      </c>
      <c r="C538" s="20">
        <f t="shared" ca="1" si="96"/>
        <v>7.97397011592731</v>
      </c>
      <c r="D538" s="21">
        <f t="shared" ca="1" si="97"/>
        <v>7.97397011592731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12.006043040154397</v>
      </c>
      <c r="C539" s="20">
        <f t="shared" ca="1" si="96"/>
        <v>12.222382680638063</v>
      </c>
      <c r="D539" s="21">
        <f t="shared" ca="1" si="97"/>
        <v>12.222382680638063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9.4064616355010013</v>
      </c>
      <c r="C540" s="20">
        <f t="shared" ca="1" si="96"/>
        <v>7.0762647016592908</v>
      </c>
      <c r="D540" s="21">
        <f t="shared" ca="1" si="97"/>
        <v>7.0762647016592908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7.635994925039161</v>
      </c>
      <c r="C541" s="20">
        <f t="shared" ca="1" si="96"/>
        <v>9.7369142260723898</v>
      </c>
      <c r="D541" s="21">
        <f t="shared" ca="1" si="97"/>
        <v>9.7369142260723898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7.754170192053417</v>
      </c>
      <c r="C542" s="20">
        <f t="shared" ca="1" si="96"/>
        <v>8.3356995819216788</v>
      </c>
      <c r="D542" s="21">
        <f t="shared" ca="1" si="97"/>
        <v>8.3356995819216788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11.319674629995463</v>
      </c>
      <c r="C543" s="20">
        <f t="shared" ca="1" si="96"/>
        <v>10.122405265014486</v>
      </c>
      <c r="D543" s="21">
        <f t="shared" ca="1" si="97"/>
        <v>10.122405265014486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9.8116889333161357</v>
      </c>
      <c r="C544" s="20">
        <f t="shared" ca="1" si="96"/>
        <v>12.247583339391625</v>
      </c>
      <c r="D544" s="21">
        <f t="shared" ca="1" si="97"/>
        <v>12.247583339391625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10.939650694814178</v>
      </c>
      <c r="C545" s="20">
        <f t="shared" ca="1" si="96"/>
        <v>11.103873458867932</v>
      </c>
      <c r="D545" s="21">
        <f t="shared" ca="1" si="97"/>
        <v>11.103873458867932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9.0772348284513917</v>
      </c>
      <c r="C546" s="20">
        <f t="shared" ca="1" si="96"/>
        <v>12.394400874366816</v>
      </c>
      <c r="D546" s="21">
        <f t="shared" ca="1" si="97"/>
        <v>12.394400874366816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7.1390681250750294</v>
      </c>
      <c r="C547" s="20">
        <f t="shared" ca="1" si="96"/>
        <v>10.16869686813143</v>
      </c>
      <c r="D547" s="21">
        <f t="shared" ca="1" si="97"/>
        <v>10.16869686813143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9.0620019901320479</v>
      </c>
      <c r="C548" s="20">
        <f t="shared" ca="1" si="96"/>
        <v>9.4131504850456675</v>
      </c>
      <c r="D548" s="21">
        <f t="shared" ca="1" si="97"/>
        <v>9.4131504850456675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11.235348127524917</v>
      </c>
      <c r="C549" s="20">
        <f t="shared" ca="1" si="96"/>
        <v>13.11805516261213</v>
      </c>
      <c r="D549" s="21">
        <f t="shared" ca="1" si="97"/>
        <v>13.11805516261213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12.914464347680774</v>
      </c>
      <c r="C550" s="20">
        <f t="shared" ca="1" si="96"/>
        <v>10.234873315682588</v>
      </c>
      <c r="D550" s="21">
        <f t="shared" ca="1" si="97"/>
        <v>10.234873315682588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10.861608611057312</v>
      </c>
      <c r="C551" s="20">
        <f t="shared" ca="1" si="96"/>
        <v>7.9902597895851208</v>
      </c>
      <c r="D551" s="21">
        <f t="shared" ca="1" si="97"/>
        <v>7.9902597895851208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10.524697252715567</v>
      </c>
      <c r="C552" s="20">
        <f t="shared" ca="1" si="96"/>
        <v>10.01050575684809</v>
      </c>
      <c r="D552" s="21">
        <f t="shared" ref="D552:G571" ca="1" si="100">IF(AND(ISNUMBER($D$1),$F$1&gt;0,ISNUMBER(D$11),D$11&lt;=$H$1),_xlfn.NORM.INV(RAND(),$D$1,SQRT($F$1)),"")</f>
        <v>10.01050575684809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11.333053106599067</v>
      </c>
      <c r="C553" s="20">
        <f t="shared" ca="1" si="96"/>
        <v>9.5566911402037373</v>
      </c>
      <c r="D553" s="21">
        <f t="shared" ca="1" si="100"/>
        <v>9.5566911402037373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10.906529490518295</v>
      </c>
      <c r="C554" s="20">
        <f t="shared" ca="1" si="96"/>
        <v>10.40146946309415</v>
      </c>
      <c r="D554" s="21">
        <f t="shared" ca="1" si="100"/>
        <v>10.40146946309415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6.10468091853099</v>
      </c>
      <c r="C555" s="20">
        <f t="shared" ca="1" si="96"/>
        <v>10.86460368001244</v>
      </c>
      <c r="D555" s="21">
        <f t="shared" ca="1" si="100"/>
        <v>10.86460368001244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10.621587597998037</v>
      </c>
      <c r="C556" s="20">
        <f t="shared" ca="1" si="96"/>
        <v>7.7617985364346112</v>
      </c>
      <c r="D556" s="21">
        <f t="shared" ca="1" si="100"/>
        <v>7.7617985364346112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12.737435260235044</v>
      </c>
      <c r="C557" s="20">
        <f t="shared" ca="1" si="96"/>
        <v>10.006111045200951</v>
      </c>
      <c r="D557" s="21">
        <f t="shared" ca="1" si="100"/>
        <v>10.006111045200951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13.50894146937074</v>
      </c>
      <c r="C558" s="20">
        <f t="shared" ca="1" si="96"/>
        <v>12.464522178972057</v>
      </c>
      <c r="D558" s="21">
        <f t="shared" ca="1" si="100"/>
        <v>12.464522178972057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11.2415037397465</v>
      </c>
      <c r="C559" s="20">
        <f t="shared" ca="1" si="96"/>
        <v>12.930221672001665</v>
      </c>
      <c r="D559" s="21">
        <f t="shared" ca="1" si="100"/>
        <v>12.930221672001665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9.7099376460940299</v>
      </c>
      <c r="C560" s="20">
        <f t="shared" ca="1" si="96"/>
        <v>10.723696978192706</v>
      </c>
      <c r="D560" s="21">
        <f t="shared" ca="1" si="100"/>
        <v>10.723696978192706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9.6902209610755339</v>
      </c>
      <c r="C561" s="20">
        <f t="shared" ca="1" si="96"/>
        <v>8.1740519364773085</v>
      </c>
      <c r="D561" s="21">
        <f t="shared" ca="1" si="100"/>
        <v>8.1740519364773085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9.2686999840641935</v>
      </c>
      <c r="C562" s="20">
        <f t="shared" ca="1" si="96"/>
        <v>8.1233592036844815</v>
      </c>
      <c r="D562" s="21">
        <f t="shared" ca="1" si="100"/>
        <v>8.1233592036844815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9.8074863094383904</v>
      </c>
      <c r="C563" s="20">
        <f t="shared" ca="1" si="96"/>
        <v>9.3135137252032152</v>
      </c>
      <c r="D563" s="21">
        <f t="shared" ca="1" si="100"/>
        <v>9.3135137252032152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14.845026626473823</v>
      </c>
      <c r="C564" s="20">
        <f t="shared" ca="1" si="96"/>
        <v>9.7343637861279895</v>
      </c>
      <c r="D564" s="21">
        <f t="shared" ca="1" si="100"/>
        <v>9.7343637861279895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11.408063528091141</v>
      </c>
      <c r="C565" s="20">
        <f t="shared" ca="1" si="96"/>
        <v>12.696311249246456</v>
      </c>
      <c r="D565" s="21">
        <f t="shared" ca="1" si="100"/>
        <v>12.696311249246456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8.8765227388704204</v>
      </c>
      <c r="C566" s="20">
        <f t="shared" ca="1" si="96"/>
        <v>8.8905143580299679</v>
      </c>
      <c r="D566" s="21">
        <f t="shared" ca="1" si="100"/>
        <v>8.8905143580299679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11.746434090292414</v>
      </c>
      <c r="C567" s="20">
        <f t="shared" ca="1" si="96"/>
        <v>14.070044781516916</v>
      </c>
      <c r="D567" s="21">
        <f t="shared" ca="1" si="100"/>
        <v>14.070044781516916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7.9713128614138071</v>
      </c>
      <c r="C568" s="20">
        <f t="shared" ca="1" si="96"/>
        <v>9.200548579926032</v>
      </c>
      <c r="D568" s="21">
        <f t="shared" ca="1" si="100"/>
        <v>9.200548579926032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10.290671359720534</v>
      </c>
      <c r="C569" s="20">
        <f t="shared" ca="1" si="96"/>
        <v>8.619410480909071</v>
      </c>
      <c r="D569" s="21">
        <f t="shared" ca="1" si="100"/>
        <v>8.619410480909071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4.9393371979165233</v>
      </c>
      <c r="C570" s="20">
        <f t="shared" ca="1" si="96"/>
        <v>10.270601629193669</v>
      </c>
      <c r="D570" s="21">
        <f t="shared" ca="1" si="100"/>
        <v>10.270601629193669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9.0692641738426438</v>
      </c>
      <c r="C571" s="20">
        <f t="shared" ca="1" si="96"/>
        <v>10.549204407308055</v>
      </c>
      <c r="D571" s="21">
        <f t="shared" ca="1" si="100"/>
        <v>10.549204407308055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12.695166151689666</v>
      </c>
      <c r="C572" s="20">
        <f t="shared" ca="1" si="96"/>
        <v>6.7178239984467805</v>
      </c>
      <c r="D572" s="21">
        <f t="shared" ref="D572:G591" ca="1" si="103">IF(AND(ISNUMBER($D$1),$F$1&gt;0,ISNUMBER(D$11),D$11&lt;=$H$1),_xlfn.NORM.INV(RAND(),$D$1,SQRT($F$1)),"")</f>
        <v>6.7178239984467805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10.729386838104215</v>
      </c>
      <c r="C573" s="20">
        <f t="shared" ca="1" si="96"/>
        <v>12.855755409279453</v>
      </c>
      <c r="D573" s="21">
        <f t="shared" ca="1" si="103"/>
        <v>12.855755409279453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11.921702843158176</v>
      </c>
      <c r="C574" s="20">
        <f t="shared" ca="1" si="96"/>
        <v>5.3406114292127924</v>
      </c>
      <c r="D574" s="21">
        <f t="shared" ca="1" si="103"/>
        <v>5.3406114292127924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7.1111435146875239</v>
      </c>
      <c r="C575" s="20">
        <f t="shared" ca="1" si="96"/>
        <v>6.069245496431301</v>
      </c>
      <c r="D575" s="21">
        <f t="shared" ca="1" si="103"/>
        <v>6.069245496431301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12.598774018233282</v>
      </c>
      <c r="C576" s="20">
        <f t="shared" ca="1" si="96"/>
        <v>9.1944684192551183</v>
      </c>
      <c r="D576" s="21">
        <f t="shared" ca="1" si="103"/>
        <v>9.1944684192551183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11.907759310873573</v>
      </c>
      <c r="C577" s="20">
        <f t="shared" ca="1" si="96"/>
        <v>12.620822600529481</v>
      </c>
      <c r="D577" s="21">
        <f t="shared" ca="1" si="103"/>
        <v>12.620822600529481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11.767685188878437</v>
      </c>
      <c r="C578" s="20">
        <f t="shared" ca="1" si="96"/>
        <v>9.2575914025829373</v>
      </c>
      <c r="D578" s="21">
        <f t="shared" ca="1" si="103"/>
        <v>9.2575914025829373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11.225560465983238</v>
      </c>
      <c r="C579" s="20">
        <f t="shared" ca="1" si="96"/>
        <v>7.206943661481148</v>
      </c>
      <c r="D579" s="21">
        <f t="shared" ca="1" si="103"/>
        <v>7.206943661481148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10.338271850134159</v>
      </c>
      <c r="C580" s="20">
        <f t="shared" ca="1" si="96"/>
        <v>11.553709614985683</v>
      </c>
      <c r="D580" s="21">
        <f t="shared" ca="1" si="103"/>
        <v>11.553709614985683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10.428566010702427</v>
      </c>
      <c r="C581" s="20">
        <f t="shared" ca="1" si="96"/>
        <v>10.949785564295716</v>
      </c>
      <c r="D581" s="21">
        <f t="shared" ca="1" si="103"/>
        <v>10.949785564295716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13.809702493984298</v>
      </c>
      <c r="C582" s="20">
        <f t="shared" ca="1" si="96"/>
        <v>11.284592579859677</v>
      </c>
      <c r="D582" s="21">
        <f t="shared" ca="1" si="103"/>
        <v>11.284592579859677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13.992474592508593</v>
      </c>
      <c r="C583" s="20">
        <f t="shared" ca="1" si="96"/>
        <v>10.853643241444731</v>
      </c>
      <c r="D583" s="21">
        <f t="shared" ca="1" si="103"/>
        <v>10.853643241444731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8.9871999921297014</v>
      </c>
      <c r="C584" s="20">
        <f t="shared" ca="1" si="96"/>
        <v>13.7923676728571</v>
      </c>
      <c r="D584" s="21">
        <f t="shared" ca="1" si="103"/>
        <v>13.7923676728571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10.110501835406627</v>
      </c>
      <c r="C585" s="20">
        <f t="shared" ca="1" si="96"/>
        <v>10.301287230861645</v>
      </c>
      <c r="D585" s="21">
        <f t="shared" ca="1" si="103"/>
        <v>10.301287230861645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8.3200703987312821</v>
      </c>
      <c r="C586" s="20">
        <f t="shared" ca="1" si="96"/>
        <v>7.9396428890058957</v>
      </c>
      <c r="D586" s="21">
        <f t="shared" ca="1" si="103"/>
        <v>7.9396428890058957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10.497385881358877</v>
      </c>
      <c r="C587" s="20">
        <f t="shared" ca="1" si="96"/>
        <v>8.283775420893571</v>
      </c>
      <c r="D587" s="21">
        <f t="shared" ca="1" si="103"/>
        <v>8.283775420893571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8.1297161709571455</v>
      </c>
      <c r="C588" s="20">
        <f t="shared" ca="1" si="96"/>
        <v>9.0344603191551105</v>
      </c>
      <c r="D588" s="21">
        <f t="shared" ca="1" si="103"/>
        <v>9.0344603191551105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10.709568737825842</v>
      </c>
      <c r="C589" s="20">
        <f t="shared" ref="C589:C652" ca="1" si="107">IF(AND($H$1&gt;=1,ISNUMBER(D589)),AVERAGE(D589:W589),"")</f>
        <v>13.385206860191257</v>
      </c>
      <c r="D589" s="21">
        <f t="shared" ca="1" si="103"/>
        <v>13.385206860191257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9.0913812846949398</v>
      </c>
      <c r="C590" s="20">
        <f t="shared" ca="1" si="107"/>
        <v>8.7130182977654869</v>
      </c>
      <c r="D590" s="21">
        <f t="shared" ca="1" si="103"/>
        <v>8.7130182977654869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11.068728795034865</v>
      </c>
      <c r="C591" s="20">
        <f t="shared" ca="1" si="107"/>
        <v>11.169505181561632</v>
      </c>
      <c r="D591" s="21">
        <f t="shared" ca="1" si="103"/>
        <v>11.169505181561632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11.764167746466153</v>
      </c>
      <c r="C592" s="20">
        <f t="shared" ca="1" si="107"/>
        <v>13.817510492211191</v>
      </c>
      <c r="D592" s="21">
        <f t="shared" ref="D592:G611" ca="1" si="108">IF(AND(ISNUMBER($D$1),$F$1&gt;0,ISNUMBER(D$11),D$11&lt;=$H$1),_xlfn.NORM.INV(RAND(),$D$1,SQRT($F$1)),"")</f>
        <v>13.817510492211191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12.397924350794716</v>
      </c>
      <c r="C593" s="20">
        <f t="shared" ca="1" si="107"/>
        <v>7.4430559632166737</v>
      </c>
      <c r="D593" s="21">
        <f t="shared" ca="1" si="108"/>
        <v>7.4430559632166737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10.068122885413574</v>
      </c>
      <c r="C594" s="20">
        <f t="shared" ca="1" si="107"/>
        <v>9.669682168925279</v>
      </c>
      <c r="D594" s="21">
        <f t="shared" ca="1" si="108"/>
        <v>9.669682168925279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13.431718624980821</v>
      </c>
      <c r="C595" s="20">
        <f t="shared" ca="1" si="107"/>
        <v>9.3764318192712111</v>
      </c>
      <c r="D595" s="21">
        <f t="shared" ca="1" si="108"/>
        <v>9.3764318192712111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9.8351365353762947</v>
      </c>
      <c r="C596" s="20">
        <f t="shared" ca="1" si="107"/>
        <v>9.0803959616795566</v>
      </c>
      <c r="D596" s="21">
        <f t="shared" ca="1" si="108"/>
        <v>9.0803959616795566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11.609964994490397</v>
      </c>
      <c r="C597" s="20">
        <f t="shared" ca="1" si="107"/>
        <v>7.5110103117056148</v>
      </c>
      <c r="D597" s="21">
        <f t="shared" ca="1" si="108"/>
        <v>7.5110103117056148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9.9615753190049414</v>
      </c>
      <c r="C598" s="20">
        <f t="shared" ca="1" si="107"/>
        <v>11.429925745939673</v>
      </c>
      <c r="D598" s="21">
        <f t="shared" ca="1" si="108"/>
        <v>11.429925745939673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12.596168778334116</v>
      </c>
      <c r="C599" s="20">
        <f t="shared" ca="1" si="107"/>
        <v>12.581297127102815</v>
      </c>
      <c r="D599" s="21">
        <f t="shared" ca="1" si="108"/>
        <v>12.581297127102815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12.265151552389204</v>
      </c>
      <c r="C600" s="20">
        <f t="shared" ca="1" si="107"/>
        <v>8.0240841461719477</v>
      </c>
      <c r="D600" s="21">
        <f t="shared" ca="1" si="108"/>
        <v>8.0240841461719477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10.346283223336476</v>
      </c>
      <c r="C601" s="20">
        <f t="shared" ca="1" si="107"/>
        <v>11.450907862903986</v>
      </c>
      <c r="D601" s="21">
        <f t="shared" ca="1" si="108"/>
        <v>11.450907862903986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7.3290688770319612</v>
      </c>
      <c r="C602" s="20">
        <f t="shared" ca="1" si="107"/>
        <v>8.3798659905155954</v>
      </c>
      <c r="D602" s="21">
        <f t="shared" ca="1" si="108"/>
        <v>8.3798659905155954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10.626108242913022</v>
      </c>
      <c r="C603" s="20">
        <f t="shared" ca="1" si="107"/>
        <v>6.2836506378900951</v>
      </c>
      <c r="D603" s="21">
        <f t="shared" ca="1" si="108"/>
        <v>6.2836506378900951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8.5985573847813779</v>
      </c>
      <c r="C604" s="20">
        <f t="shared" ca="1" si="107"/>
        <v>10.280187776173053</v>
      </c>
      <c r="D604" s="21">
        <f t="shared" ca="1" si="108"/>
        <v>10.280187776173053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10.08187288845458</v>
      </c>
      <c r="C605" s="20">
        <f t="shared" ca="1" si="107"/>
        <v>9.007518963370444</v>
      </c>
      <c r="D605" s="21">
        <f t="shared" ca="1" si="108"/>
        <v>9.007518963370444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10.578900988076938</v>
      </c>
      <c r="C606" s="20">
        <f t="shared" ca="1" si="107"/>
        <v>9.5750765465251657</v>
      </c>
      <c r="D606" s="21">
        <f t="shared" ca="1" si="108"/>
        <v>9.5750765465251657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12.313415740623757</v>
      </c>
      <c r="C607" s="20">
        <f t="shared" ca="1" si="107"/>
        <v>8.9804307921975717</v>
      </c>
      <c r="D607" s="21">
        <f t="shared" ca="1" si="108"/>
        <v>8.9804307921975717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6.9249718920049617</v>
      </c>
      <c r="C608" s="20">
        <f t="shared" ca="1" si="107"/>
        <v>10.132014826709325</v>
      </c>
      <c r="D608" s="21">
        <f t="shared" ca="1" si="108"/>
        <v>10.132014826709325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7.866335700679624</v>
      </c>
      <c r="C609" s="20">
        <f t="shared" ca="1" si="107"/>
        <v>10.450395254681538</v>
      </c>
      <c r="D609" s="21">
        <f t="shared" ca="1" si="108"/>
        <v>10.450395254681538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10.425172780011383</v>
      </c>
      <c r="C610" s="20">
        <f t="shared" ca="1" si="107"/>
        <v>7.026356207661876</v>
      </c>
      <c r="D610" s="21">
        <f t="shared" ca="1" si="108"/>
        <v>7.026356207661876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11.697486220220076</v>
      </c>
      <c r="C611" s="20">
        <f t="shared" ca="1" si="107"/>
        <v>8.0312295824351416</v>
      </c>
      <c r="D611" s="21">
        <f t="shared" ca="1" si="108"/>
        <v>8.0312295824351416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10.583710418759818</v>
      </c>
      <c r="C612" s="20">
        <f t="shared" ca="1" si="107"/>
        <v>10.897209487814981</v>
      </c>
      <c r="D612" s="21">
        <f t="shared" ref="D612:G631" ca="1" si="111">IF(AND(ISNUMBER($D$1),$F$1&gt;0,ISNUMBER(D$11),D$11&lt;=$H$1),_xlfn.NORM.INV(RAND(),$D$1,SQRT($F$1)),"")</f>
        <v>10.897209487814981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9.7649366730498794</v>
      </c>
      <c r="C613" s="20">
        <f t="shared" ca="1" si="107"/>
        <v>6.5551722445291993</v>
      </c>
      <c r="D613" s="21">
        <f t="shared" ca="1" si="111"/>
        <v>6.5551722445291993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11.251449422343088</v>
      </c>
      <c r="C614" s="20">
        <f t="shared" ca="1" si="107"/>
        <v>11.226871776831423</v>
      </c>
      <c r="D614" s="21">
        <f t="shared" ca="1" si="111"/>
        <v>11.226871776831423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15.243255124665257</v>
      </c>
      <c r="C615" s="20">
        <f t="shared" ca="1" si="107"/>
        <v>10.462976296237253</v>
      </c>
      <c r="D615" s="21">
        <f t="shared" ca="1" si="111"/>
        <v>10.462976296237253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10.976194453951067</v>
      </c>
      <c r="C616" s="20">
        <f t="shared" ca="1" si="107"/>
        <v>12.181699111179345</v>
      </c>
      <c r="D616" s="21">
        <f t="shared" ca="1" si="111"/>
        <v>12.181699111179345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11.107302290861943</v>
      </c>
      <c r="C617" s="20">
        <f t="shared" ca="1" si="107"/>
        <v>11.932901227068472</v>
      </c>
      <c r="D617" s="21">
        <f t="shared" ca="1" si="111"/>
        <v>11.932901227068472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10.04577895819798</v>
      </c>
      <c r="C618" s="20">
        <f t="shared" ca="1" si="107"/>
        <v>11.152687140422438</v>
      </c>
      <c r="D618" s="21">
        <f t="shared" ca="1" si="111"/>
        <v>11.152687140422438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6.8913820754046702</v>
      </c>
      <c r="C619" s="20">
        <f t="shared" ca="1" si="107"/>
        <v>7.2751638789165574</v>
      </c>
      <c r="D619" s="21">
        <f t="shared" ca="1" si="111"/>
        <v>7.2751638789165574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10.00800021545253</v>
      </c>
      <c r="C620" s="20">
        <f t="shared" ca="1" si="107"/>
        <v>10.484956125072664</v>
      </c>
      <c r="D620" s="21">
        <f t="shared" ca="1" si="111"/>
        <v>10.484956125072664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10.719429474832701</v>
      </c>
      <c r="C621" s="20">
        <f t="shared" ca="1" si="107"/>
        <v>9.7518102005321268</v>
      </c>
      <c r="D621" s="21">
        <f t="shared" ca="1" si="111"/>
        <v>9.7518102005321268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11.369947758227555</v>
      </c>
      <c r="C622" s="20">
        <f t="shared" ca="1" si="107"/>
        <v>9.6373566359332123</v>
      </c>
      <c r="D622" s="21">
        <f t="shared" ca="1" si="111"/>
        <v>9.6373566359332123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10.72259405599125</v>
      </c>
      <c r="C623" s="20">
        <f t="shared" ca="1" si="107"/>
        <v>13.077148472445156</v>
      </c>
      <c r="D623" s="21">
        <f t="shared" ca="1" si="111"/>
        <v>13.077148472445156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6.2239601718552748</v>
      </c>
      <c r="C624" s="20">
        <f t="shared" ca="1" si="107"/>
        <v>11.043604920260947</v>
      </c>
      <c r="D624" s="21">
        <f t="shared" ca="1" si="111"/>
        <v>11.043604920260947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4.1196337322131589</v>
      </c>
      <c r="C625" s="20">
        <f t="shared" ca="1" si="107"/>
        <v>12.050543712875541</v>
      </c>
      <c r="D625" s="21">
        <f t="shared" ca="1" si="111"/>
        <v>12.050543712875541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10.677921657051773</v>
      </c>
      <c r="C626" s="20">
        <f t="shared" ca="1" si="107"/>
        <v>9.5441757251673618</v>
      </c>
      <c r="D626" s="21">
        <f t="shared" ca="1" si="111"/>
        <v>9.5441757251673618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8.3950537829635117</v>
      </c>
      <c r="C627" s="20">
        <f t="shared" ca="1" si="107"/>
        <v>9.5701966284558821</v>
      </c>
      <c r="D627" s="21">
        <f t="shared" ca="1" si="111"/>
        <v>9.5701966284558821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11.306486148977655</v>
      </c>
      <c r="C628" s="20">
        <f t="shared" ca="1" si="107"/>
        <v>13.869328117599293</v>
      </c>
      <c r="D628" s="21">
        <f t="shared" ca="1" si="111"/>
        <v>13.869328117599293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12.613041979180588</v>
      </c>
      <c r="C629" s="20">
        <f t="shared" ca="1" si="107"/>
        <v>9.7541002912874237</v>
      </c>
      <c r="D629" s="21">
        <f t="shared" ca="1" si="111"/>
        <v>9.7541002912874237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11.771507238793481</v>
      </c>
      <c r="C630" s="20">
        <f t="shared" ca="1" si="107"/>
        <v>8.8284817699133722</v>
      </c>
      <c r="D630" s="21">
        <f t="shared" ca="1" si="111"/>
        <v>8.8284817699133722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9.7766366503429882</v>
      </c>
      <c r="C631" s="20">
        <f t="shared" ca="1" si="107"/>
        <v>9.0296217305605246</v>
      </c>
      <c r="D631" s="21">
        <f t="shared" ca="1" si="111"/>
        <v>9.0296217305605246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11.433865212557592</v>
      </c>
      <c r="C632" s="20">
        <f t="shared" ca="1" si="107"/>
        <v>7.8181594773404814</v>
      </c>
      <c r="D632" s="21">
        <f t="shared" ref="D632:G651" ca="1" si="114">IF(AND(ISNUMBER($D$1),$F$1&gt;0,ISNUMBER(D$11),D$11&lt;=$H$1),_xlfn.NORM.INV(RAND(),$D$1,SQRT($F$1)),"")</f>
        <v>7.8181594773404814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9.1463797154637874</v>
      </c>
      <c r="C633" s="20">
        <f t="shared" ca="1" si="107"/>
        <v>7.2617505221124512</v>
      </c>
      <c r="D633" s="21">
        <f t="shared" ca="1" si="114"/>
        <v>7.2617505221124512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11.028144218296863</v>
      </c>
      <c r="C634" s="20">
        <f t="shared" ca="1" si="107"/>
        <v>11.774634517538788</v>
      </c>
      <c r="D634" s="21">
        <f t="shared" ca="1" si="114"/>
        <v>11.774634517538788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11.006054118743513</v>
      </c>
      <c r="C635" s="20">
        <f t="shared" ca="1" si="107"/>
        <v>11.220241808047556</v>
      </c>
      <c r="D635" s="21">
        <f t="shared" ca="1" si="114"/>
        <v>11.220241808047556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9.5484153467561494</v>
      </c>
      <c r="C636" s="20">
        <f t="shared" ca="1" si="107"/>
        <v>12.79405253829006</v>
      </c>
      <c r="D636" s="21">
        <f t="shared" ca="1" si="114"/>
        <v>12.79405253829006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7.1877769195095116</v>
      </c>
      <c r="C637" s="20">
        <f t="shared" ca="1" si="107"/>
        <v>12.596513174609338</v>
      </c>
      <c r="D637" s="21">
        <f t="shared" ca="1" si="114"/>
        <v>12.596513174609338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10.782003317672567</v>
      </c>
      <c r="C638" s="20">
        <f t="shared" ca="1" si="107"/>
        <v>6.2198304167750029</v>
      </c>
      <c r="D638" s="21">
        <f t="shared" ca="1" si="114"/>
        <v>6.2198304167750029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10.509109640355028</v>
      </c>
      <c r="C639" s="20">
        <f t="shared" ca="1" si="107"/>
        <v>9.4043642526143358</v>
      </c>
      <c r="D639" s="21">
        <f t="shared" ca="1" si="114"/>
        <v>9.4043642526143358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11.340882802773562</v>
      </c>
      <c r="C640" s="20">
        <f t="shared" ca="1" si="107"/>
        <v>11.869307807855041</v>
      </c>
      <c r="D640" s="21">
        <f t="shared" ca="1" si="114"/>
        <v>11.869307807855041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9.2409128465768955</v>
      </c>
      <c r="C641" s="20">
        <f t="shared" ca="1" si="107"/>
        <v>13.421789954371841</v>
      </c>
      <c r="D641" s="21">
        <f t="shared" ca="1" si="114"/>
        <v>13.421789954371841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10.928895459770086</v>
      </c>
      <c r="C642" s="20">
        <f t="shared" ca="1" si="107"/>
        <v>10.03000885333565</v>
      </c>
      <c r="D642" s="21">
        <f t="shared" ca="1" si="114"/>
        <v>10.03000885333565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11.776430619943081</v>
      </c>
      <c r="C643" s="20">
        <f t="shared" ca="1" si="107"/>
        <v>8.7483327866811287</v>
      </c>
      <c r="D643" s="21">
        <f t="shared" ca="1" si="114"/>
        <v>8.7483327866811287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9.3362298721674097</v>
      </c>
      <c r="C644" s="20">
        <f t="shared" ca="1" si="107"/>
        <v>9.5772841216608402</v>
      </c>
      <c r="D644" s="21">
        <f t="shared" ca="1" si="114"/>
        <v>9.5772841216608402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14.066289185926708</v>
      </c>
      <c r="C645" s="20">
        <f t="shared" ca="1" si="107"/>
        <v>7.2080037755012594</v>
      </c>
      <c r="D645" s="21">
        <f t="shared" ca="1" si="114"/>
        <v>7.2080037755012594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11.610667922198704</v>
      </c>
      <c r="C646" s="20">
        <f t="shared" ca="1" si="107"/>
        <v>10.821199228707313</v>
      </c>
      <c r="D646" s="21">
        <f t="shared" ca="1" si="114"/>
        <v>10.821199228707313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9.0045518608966297</v>
      </c>
      <c r="C647" s="20">
        <f t="shared" ca="1" si="107"/>
        <v>9.4957758290836214</v>
      </c>
      <c r="D647" s="21">
        <f t="shared" ca="1" si="114"/>
        <v>9.4957758290836214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12.366729187717938</v>
      </c>
      <c r="C648" s="20">
        <f t="shared" ca="1" si="107"/>
        <v>8.0499860723885117</v>
      </c>
      <c r="D648" s="21">
        <f t="shared" ca="1" si="114"/>
        <v>8.0499860723885117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10.913247885228802</v>
      </c>
      <c r="C649" s="20">
        <f t="shared" ca="1" si="107"/>
        <v>12.158545582155659</v>
      </c>
      <c r="D649" s="21">
        <f t="shared" ca="1" si="114"/>
        <v>12.158545582155659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11.614760758981289</v>
      </c>
      <c r="C650" s="20">
        <f t="shared" ca="1" si="107"/>
        <v>10.42655221852119</v>
      </c>
      <c r="D650" s="21">
        <f t="shared" ca="1" si="114"/>
        <v>10.42655221852119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8.4181167339291143</v>
      </c>
      <c r="C651" s="20">
        <f t="shared" ca="1" si="107"/>
        <v>10.528648098298346</v>
      </c>
      <c r="D651" s="21">
        <f t="shared" ca="1" si="114"/>
        <v>10.528648098298346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8.3510482386697689</v>
      </c>
      <c r="C652" s="20">
        <f t="shared" ca="1" si="107"/>
        <v>10.675623115874011</v>
      </c>
      <c r="D652" s="21">
        <f t="shared" ref="D652:G671" ca="1" si="117">IF(AND(ISNUMBER($D$1),$F$1&gt;0,ISNUMBER(D$11),D$11&lt;=$H$1),_xlfn.NORM.INV(RAND(),$D$1,SQRT($F$1)),"")</f>
        <v>10.675623115874011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7.8155279088462555</v>
      </c>
      <c r="C653" s="20">
        <f t="shared" ref="C653:C716" ca="1" si="120">IF(AND($H$1&gt;=1,ISNUMBER(D653)),AVERAGE(D653:W653),"")</f>
        <v>9.6363036453849578</v>
      </c>
      <c r="D653" s="21">
        <f t="shared" ca="1" si="117"/>
        <v>9.6363036453849578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7.0108884667190683</v>
      </c>
      <c r="C654" s="20">
        <f t="shared" ca="1" si="120"/>
        <v>7.9551926538176883</v>
      </c>
      <c r="D654" s="21">
        <f t="shared" ca="1" si="117"/>
        <v>7.9551926538176883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9.6705508956828048</v>
      </c>
      <c r="C655" s="20">
        <f t="shared" ca="1" si="120"/>
        <v>10.742677347122207</v>
      </c>
      <c r="D655" s="21">
        <f t="shared" ca="1" si="117"/>
        <v>10.742677347122207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9.5736112731772369</v>
      </c>
      <c r="C656" s="20">
        <f t="shared" ca="1" si="120"/>
        <v>9.1575979477898635</v>
      </c>
      <c r="D656" s="21">
        <f t="shared" ca="1" si="117"/>
        <v>9.1575979477898635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8.3663132757172232</v>
      </c>
      <c r="C657" s="20">
        <f t="shared" ca="1" si="120"/>
        <v>7.8672566183474286</v>
      </c>
      <c r="D657" s="21">
        <f t="shared" ca="1" si="117"/>
        <v>7.8672566183474286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8.9022011605706517</v>
      </c>
      <c r="C658" s="20">
        <f t="shared" ca="1" si="120"/>
        <v>12.302321281095669</v>
      </c>
      <c r="D658" s="21">
        <f t="shared" ca="1" si="117"/>
        <v>12.302321281095669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10.684341358020077</v>
      </c>
      <c r="C659" s="20">
        <f t="shared" ca="1" si="120"/>
        <v>10.73827655638255</v>
      </c>
      <c r="D659" s="21">
        <f t="shared" ca="1" si="117"/>
        <v>10.73827655638255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7.5604626140137903</v>
      </c>
      <c r="C660" s="20">
        <f t="shared" ca="1" si="120"/>
        <v>10.119477977592368</v>
      </c>
      <c r="D660" s="21">
        <f t="shared" ca="1" si="117"/>
        <v>10.119477977592368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8.5308697525352102</v>
      </c>
      <c r="C661" s="20">
        <f t="shared" ca="1" si="120"/>
        <v>10.06706226662237</v>
      </c>
      <c r="D661" s="21">
        <f t="shared" ca="1" si="117"/>
        <v>10.06706226662237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10.169726597926417</v>
      </c>
      <c r="C662" s="20">
        <f t="shared" ca="1" si="120"/>
        <v>10.680502344012979</v>
      </c>
      <c r="D662" s="21">
        <f t="shared" ca="1" si="117"/>
        <v>10.680502344012979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10.335790323622897</v>
      </c>
      <c r="C663" s="20">
        <f t="shared" ca="1" si="120"/>
        <v>13.408201523516464</v>
      </c>
      <c r="D663" s="21">
        <f t="shared" ca="1" si="117"/>
        <v>13.408201523516464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15.984426155391821</v>
      </c>
      <c r="C664" s="20">
        <f t="shared" ca="1" si="120"/>
        <v>11.348694720629027</v>
      </c>
      <c r="D664" s="21">
        <f t="shared" ca="1" si="117"/>
        <v>11.348694720629027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7.4523508774766984</v>
      </c>
      <c r="C665" s="20">
        <f t="shared" ca="1" si="120"/>
        <v>9.9034694476304992</v>
      </c>
      <c r="D665" s="21">
        <f t="shared" ca="1" si="117"/>
        <v>9.9034694476304992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10.99055494698189</v>
      </c>
      <c r="C666" s="20">
        <f t="shared" ca="1" si="120"/>
        <v>8.4965169736085429</v>
      </c>
      <c r="D666" s="21">
        <f t="shared" ca="1" si="117"/>
        <v>8.4965169736085429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9.0781480642556307</v>
      </c>
      <c r="C667" s="20">
        <f t="shared" ca="1" si="120"/>
        <v>8.7216315154925219</v>
      </c>
      <c r="D667" s="21">
        <f t="shared" ca="1" si="117"/>
        <v>8.7216315154925219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10.279754942194963</v>
      </c>
      <c r="C668" s="20">
        <f t="shared" ca="1" si="120"/>
        <v>8.0457785431309965</v>
      </c>
      <c r="D668" s="21">
        <f t="shared" ca="1" si="117"/>
        <v>8.0457785431309965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7.9950209373229626</v>
      </c>
      <c r="C669" s="20">
        <f t="shared" ca="1" si="120"/>
        <v>13.27778545467271</v>
      </c>
      <c r="D669" s="21">
        <f t="shared" ca="1" si="117"/>
        <v>13.27778545467271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8.6136015544133091</v>
      </c>
      <c r="C670" s="20">
        <f t="shared" ca="1" si="120"/>
        <v>10.580762088041316</v>
      </c>
      <c r="D670" s="21">
        <f t="shared" ca="1" si="117"/>
        <v>10.580762088041316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9.2707472337431707</v>
      </c>
      <c r="C671" s="20">
        <f t="shared" ca="1" si="120"/>
        <v>9.9598227048848251</v>
      </c>
      <c r="D671" s="21">
        <f t="shared" ca="1" si="117"/>
        <v>9.9598227048848251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12.448890055737358</v>
      </c>
      <c r="C672" s="20">
        <f t="shared" ca="1" si="120"/>
        <v>7.9003212182232136</v>
      </c>
      <c r="D672" s="21">
        <f t="shared" ref="D672:G691" ca="1" si="122">IF(AND(ISNUMBER($D$1),$F$1&gt;0,ISNUMBER(D$11),D$11&lt;=$H$1),_xlfn.NORM.INV(RAND(),$D$1,SQRT($F$1)),"")</f>
        <v>7.9003212182232136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12.272394199390286</v>
      </c>
      <c r="C673" s="20">
        <f t="shared" ca="1" si="120"/>
        <v>6.6036563085267392</v>
      </c>
      <c r="D673" s="21">
        <f t="shared" ca="1" si="122"/>
        <v>6.6036563085267392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10.622745904899615</v>
      </c>
      <c r="C674" s="20">
        <f t="shared" ca="1" si="120"/>
        <v>8.5129221415656868</v>
      </c>
      <c r="D674" s="21">
        <f t="shared" ca="1" si="122"/>
        <v>8.5129221415656868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6.8109078756104502</v>
      </c>
      <c r="C675" s="20">
        <f t="shared" ca="1" si="120"/>
        <v>9.8706141952483897</v>
      </c>
      <c r="D675" s="21">
        <f t="shared" ca="1" si="122"/>
        <v>9.8706141952483897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8.9591224572504338</v>
      </c>
      <c r="C676" s="20">
        <f t="shared" ca="1" si="120"/>
        <v>14.45638750474868</v>
      </c>
      <c r="D676" s="21">
        <f t="shared" ca="1" si="122"/>
        <v>14.45638750474868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12.124376596435914</v>
      </c>
      <c r="C677" s="20">
        <f t="shared" ca="1" si="120"/>
        <v>12.942218161101284</v>
      </c>
      <c r="D677" s="21">
        <f t="shared" ca="1" si="122"/>
        <v>12.942218161101284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11.606984079674156</v>
      </c>
      <c r="C678" s="20">
        <f t="shared" ca="1" si="120"/>
        <v>13.50028682052951</v>
      </c>
      <c r="D678" s="21">
        <f t="shared" ca="1" si="122"/>
        <v>13.50028682052951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10.201896271995942</v>
      </c>
      <c r="C679" s="20">
        <f t="shared" ca="1" si="120"/>
        <v>13.307772724715164</v>
      </c>
      <c r="D679" s="21">
        <f t="shared" ca="1" si="122"/>
        <v>13.307772724715164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9.7379194148316248</v>
      </c>
      <c r="C680" s="20">
        <f t="shared" ca="1" si="120"/>
        <v>9.9690974429434576</v>
      </c>
      <c r="D680" s="21">
        <f t="shared" ca="1" si="122"/>
        <v>9.9690974429434576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10.195545283701129</v>
      </c>
      <c r="C681" s="20">
        <f t="shared" ca="1" si="120"/>
        <v>11.296249061079376</v>
      </c>
      <c r="D681" s="21">
        <f t="shared" ca="1" si="122"/>
        <v>11.296249061079376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10.368561326046338</v>
      </c>
      <c r="C682" s="20">
        <f t="shared" ca="1" si="120"/>
        <v>7.0414944664821153</v>
      </c>
      <c r="D682" s="21">
        <f t="shared" ca="1" si="122"/>
        <v>7.0414944664821153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9.8482829332581989</v>
      </c>
      <c r="C683" s="20">
        <f t="shared" ca="1" si="120"/>
        <v>11.55661713416962</v>
      </c>
      <c r="D683" s="21">
        <f t="shared" ca="1" si="122"/>
        <v>11.55661713416962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7.5823398845503984</v>
      </c>
      <c r="C684" s="20">
        <f t="shared" ca="1" si="120"/>
        <v>9.734838073418457</v>
      </c>
      <c r="D684" s="21">
        <f t="shared" ca="1" si="122"/>
        <v>9.734838073418457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11.988591729724059</v>
      </c>
      <c r="C685" s="20">
        <f t="shared" ca="1" si="120"/>
        <v>7.8817615508337671</v>
      </c>
      <c r="D685" s="21">
        <f t="shared" ca="1" si="122"/>
        <v>7.8817615508337671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7.8218422012653512</v>
      </c>
      <c r="C686" s="20">
        <f t="shared" ca="1" si="120"/>
        <v>8.847549291956895</v>
      </c>
      <c r="D686" s="21">
        <f t="shared" ca="1" si="122"/>
        <v>8.847549291956895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5.6055948688398685</v>
      </c>
      <c r="C687" s="20">
        <f t="shared" ca="1" si="120"/>
        <v>13.697750552454018</v>
      </c>
      <c r="D687" s="21">
        <f t="shared" ca="1" si="122"/>
        <v>13.697750552454018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13.731847724859648</v>
      </c>
      <c r="C688" s="20">
        <f t="shared" ca="1" si="120"/>
        <v>10.768363598887829</v>
      </c>
      <c r="D688" s="21">
        <f t="shared" ca="1" si="122"/>
        <v>10.768363598887829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11.293916341649808</v>
      </c>
      <c r="C689" s="20">
        <f t="shared" ca="1" si="120"/>
        <v>9.3901837993686392</v>
      </c>
      <c r="D689" s="21">
        <f t="shared" ca="1" si="122"/>
        <v>9.3901837993686392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10.067573809292563</v>
      </c>
      <c r="C690" s="20">
        <f t="shared" ca="1" si="120"/>
        <v>9.9680859704941334</v>
      </c>
      <c r="D690" s="21">
        <f t="shared" ca="1" si="122"/>
        <v>9.9680859704941334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9.5127885974513919</v>
      </c>
      <c r="C691" s="20">
        <f t="shared" ca="1" si="120"/>
        <v>8.9529549421830161</v>
      </c>
      <c r="D691" s="21">
        <f t="shared" ca="1" si="122"/>
        <v>8.9529549421830161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9.8808286317072742</v>
      </c>
      <c r="C692" s="20">
        <f t="shared" ca="1" si="120"/>
        <v>12.008832007779398</v>
      </c>
      <c r="D692" s="21">
        <f t="shared" ref="D692:G711" ca="1" si="125">IF(AND(ISNUMBER($D$1),$F$1&gt;0,ISNUMBER(D$11),D$11&lt;=$H$1),_xlfn.NORM.INV(RAND(),$D$1,SQRT($F$1)),"")</f>
        <v>12.008832007779398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7.621760453535904</v>
      </c>
      <c r="C693" s="20">
        <f t="shared" ca="1" si="120"/>
        <v>6.9767654826011629</v>
      </c>
      <c r="D693" s="21">
        <f t="shared" ca="1" si="125"/>
        <v>6.9767654826011629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4.6579921868493992</v>
      </c>
      <c r="C694" s="20">
        <f t="shared" ca="1" si="120"/>
        <v>12.483488024183876</v>
      </c>
      <c r="D694" s="21">
        <f t="shared" ca="1" si="125"/>
        <v>12.483488024183876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10.525210639446142</v>
      </c>
      <c r="C695" s="20">
        <f t="shared" ca="1" si="120"/>
        <v>5.18474017179624</v>
      </c>
      <c r="D695" s="21">
        <f t="shared" ca="1" si="125"/>
        <v>5.18474017179624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11.113133029538833</v>
      </c>
      <c r="C696" s="20">
        <f t="shared" ca="1" si="120"/>
        <v>11.721228695097505</v>
      </c>
      <c r="D696" s="21">
        <f t="shared" ca="1" si="125"/>
        <v>11.721228695097505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9.7693816508792608</v>
      </c>
      <c r="C697" s="20">
        <f t="shared" ca="1" si="120"/>
        <v>7.9047190975226957</v>
      </c>
      <c r="D697" s="21">
        <f t="shared" ca="1" si="125"/>
        <v>7.9047190975226957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10.117685167376619</v>
      </c>
      <c r="C698" s="20">
        <f t="shared" ca="1" si="120"/>
        <v>8.5279650575690091</v>
      </c>
      <c r="D698" s="21">
        <f t="shared" ca="1" si="125"/>
        <v>8.5279650575690091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8.5805233545452086</v>
      </c>
      <c r="C699" s="20">
        <f t="shared" ca="1" si="120"/>
        <v>10.162737934431405</v>
      </c>
      <c r="D699" s="21">
        <f t="shared" ca="1" si="125"/>
        <v>10.162737934431405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9.3512522623874297</v>
      </c>
      <c r="C700" s="20">
        <f t="shared" ca="1" si="120"/>
        <v>11.521842019422451</v>
      </c>
      <c r="D700" s="21">
        <f t="shared" ca="1" si="125"/>
        <v>11.521842019422451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10.62253021808119</v>
      </c>
      <c r="C701" s="20">
        <f t="shared" ca="1" si="120"/>
        <v>10.538851230964964</v>
      </c>
      <c r="D701" s="21">
        <f t="shared" ca="1" si="125"/>
        <v>10.538851230964964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5.6416768673898039</v>
      </c>
      <c r="C702" s="20">
        <f t="shared" ca="1" si="120"/>
        <v>9.2491547738482751</v>
      </c>
      <c r="D702" s="21">
        <f t="shared" ca="1" si="125"/>
        <v>9.2491547738482751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10.563423671591259</v>
      </c>
      <c r="C703" s="20">
        <f t="shared" ca="1" si="120"/>
        <v>11.583091997894684</v>
      </c>
      <c r="D703" s="21">
        <f t="shared" ca="1" si="125"/>
        <v>11.583091997894684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7.3520531767707498</v>
      </c>
      <c r="C704" s="20">
        <f t="shared" ca="1" si="120"/>
        <v>10.877138076093027</v>
      </c>
      <c r="D704" s="21">
        <f t="shared" ca="1" si="125"/>
        <v>10.877138076093027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10.218623658118547</v>
      </c>
      <c r="C705" s="20">
        <f t="shared" ca="1" si="120"/>
        <v>10.080032016775272</v>
      </c>
      <c r="D705" s="21">
        <f t="shared" ca="1" si="125"/>
        <v>10.080032016775272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5.6174767114811726</v>
      </c>
      <c r="C706" s="20">
        <f t="shared" ca="1" si="120"/>
        <v>9.0691455331946873</v>
      </c>
      <c r="D706" s="21">
        <f t="shared" ca="1" si="125"/>
        <v>9.0691455331946873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6.3733720208622966</v>
      </c>
      <c r="C707" s="20">
        <f t="shared" ca="1" si="120"/>
        <v>9.6085814757318371</v>
      </c>
      <c r="D707" s="21">
        <f t="shared" ca="1" si="125"/>
        <v>9.6085814757318371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11.959809881054341</v>
      </c>
      <c r="C708" s="20">
        <f t="shared" ca="1" si="120"/>
        <v>12.537390591214663</v>
      </c>
      <c r="D708" s="21">
        <f t="shared" ca="1" si="125"/>
        <v>12.537390591214663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12.080088738676537</v>
      </c>
      <c r="C709" s="20">
        <f t="shared" ca="1" si="120"/>
        <v>7.9390904070681749</v>
      </c>
      <c r="D709" s="21">
        <f t="shared" ca="1" si="125"/>
        <v>7.9390904070681749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8.6570880703677489</v>
      </c>
      <c r="C710" s="20">
        <f t="shared" ca="1" si="120"/>
        <v>10.919704753507791</v>
      </c>
      <c r="D710" s="21">
        <f t="shared" ca="1" si="125"/>
        <v>10.919704753507791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10.715334473214067</v>
      </c>
      <c r="C711" s="20">
        <f t="shared" ca="1" si="120"/>
        <v>8.734210902253766</v>
      </c>
      <c r="D711" s="21">
        <f t="shared" ca="1" si="125"/>
        <v>8.734210902253766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10.70701844768649</v>
      </c>
      <c r="C712" s="20">
        <f t="shared" ca="1" si="120"/>
        <v>13.793752454601984</v>
      </c>
      <c r="D712" s="21">
        <f t="shared" ref="D712:G731" ca="1" si="128">IF(AND(ISNUMBER($D$1),$F$1&gt;0,ISNUMBER(D$11),D$11&lt;=$H$1),_xlfn.NORM.INV(RAND(),$D$1,SQRT($F$1)),"")</f>
        <v>13.793752454601984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9.4413003053049955</v>
      </c>
      <c r="C713" s="20">
        <f t="shared" ca="1" si="120"/>
        <v>9.9302575390240673</v>
      </c>
      <c r="D713" s="21">
        <f t="shared" ca="1" si="128"/>
        <v>9.9302575390240673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10.6861433306339</v>
      </c>
      <c r="C714" s="20">
        <f t="shared" ca="1" si="120"/>
        <v>8.8526665774833884</v>
      </c>
      <c r="D714" s="21">
        <f t="shared" ca="1" si="128"/>
        <v>8.8526665774833884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10.530532715975509</v>
      </c>
      <c r="C715" s="20">
        <f t="shared" ca="1" si="120"/>
        <v>13.020913395479059</v>
      </c>
      <c r="D715" s="21">
        <f t="shared" ca="1" si="128"/>
        <v>13.020913395479059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11.855436829113973</v>
      </c>
      <c r="C716" s="20">
        <f t="shared" ca="1" si="120"/>
        <v>9.5864008159246143</v>
      </c>
      <c r="D716" s="21">
        <f t="shared" ca="1" si="128"/>
        <v>9.5864008159246143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8.5748991626908726</v>
      </c>
      <c r="C717" s="20">
        <f t="shared" ref="C717:C780" ca="1" si="131">IF(AND($H$1&gt;=1,ISNUMBER(D717)),AVERAGE(D717:W717),"")</f>
        <v>10.433077806906475</v>
      </c>
      <c r="D717" s="21">
        <f t="shared" ca="1" si="128"/>
        <v>10.433077806906475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7.6399868682032874</v>
      </c>
      <c r="C718" s="20">
        <f t="shared" ca="1" si="131"/>
        <v>10.112002352723747</v>
      </c>
      <c r="D718" s="21">
        <f t="shared" ca="1" si="128"/>
        <v>10.112002352723747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10.504489777219685</v>
      </c>
      <c r="C719" s="20">
        <f t="shared" ca="1" si="131"/>
        <v>7.1233551363678362</v>
      </c>
      <c r="D719" s="21">
        <f t="shared" ca="1" si="128"/>
        <v>7.1233551363678362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10.890193525797544</v>
      </c>
      <c r="C720" s="20">
        <f t="shared" ca="1" si="131"/>
        <v>5.4504788136953444</v>
      </c>
      <c r="D720" s="21">
        <f t="shared" ca="1" si="128"/>
        <v>5.4504788136953444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8.7795436153563582</v>
      </c>
      <c r="C721" s="20">
        <f t="shared" ca="1" si="131"/>
        <v>11.726462346347573</v>
      </c>
      <c r="D721" s="21">
        <f t="shared" ca="1" si="128"/>
        <v>11.726462346347573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9.6634592544601308</v>
      </c>
      <c r="C722" s="20">
        <f t="shared" ca="1" si="131"/>
        <v>8.9248256688043099</v>
      </c>
      <c r="D722" s="21">
        <f t="shared" ca="1" si="128"/>
        <v>8.9248256688043099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12.796913063152784</v>
      </c>
      <c r="C723" s="20">
        <f t="shared" ca="1" si="131"/>
        <v>9.6368061800278539</v>
      </c>
      <c r="D723" s="21">
        <f t="shared" ca="1" si="128"/>
        <v>9.6368061800278539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10.047586148475586</v>
      </c>
      <c r="C724" s="20">
        <f t="shared" ca="1" si="131"/>
        <v>12.769313366424859</v>
      </c>
      <c r="D724" s="21">
        <f t="shared" ca="1" si="128"/>
        <v>12.769313366424859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10.448166115454692</v>
      </c>
      <c r="C725" s="20">
        <f t="shared" ca="1" si="131"/>
        <v>10.107486272839701</v>
      </c>
      <c r="D725" s="21">
        <f t="shared" ca="1" si="128"/>
        <v>10.107486272839701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8.4207083223228079</v>
      </c>
      <c r="C726" s="20">
        <f t="shared" ca="1" si="131"/>
        <v>12.669366909546458</v>
      </c>
      <c r="D726" s="21">
        <f t="shared" ca="1" si="128"/>
        <v>12.669366909546458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12.376216328548502</v>
      </c>
      <c r="C727" s="20">
        <f t="shared" ca="1" si="131"/>
        <v>12.751192389595648</v>
      </c>
      <c r="D727" s="21">
        <f t="shared" ca="1" si="128"/>
        <v>12.751192389595648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8.1435144528703933</v>
      </c>
      <c r="C728" s="20">
        <f t="shared" ca="1" si="131"/>
        <v>11.329040513246527</v>
      </c>
      <c r="D728" s="21">
        <f t="shared" ca="1" si="128"/>
        <v>11.329040513246527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11.026487804808546</v>
      </c>
      <c r="C729" s="20">
        <f t="shared" ca="1" si="131"/>
        <v>9.1429583352261812</v>
      </c>
      <c r="D729" s="21">
        <f t="shared" ca="1" si="128"/>
        <v>9.1429583352261812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11.764047189936308</v>
      </c>
      <c r="C730" s="20">
        <f t="shared" ca="1" si="131"/>
        <v>6.3856658833643909</v>
      </c>
      <c r="D730" s="21">
        <f t="shared" ca="1" si="128"/>
        <v>6.3856658833643909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9.8723542607916333</v>
      </c>
      <c r="C731" s="20">
        <f t="shared" ca="1" si="131"/>
        <v>11.914945130565734</v>
      </c>
      <c r="D731" s="21">
        <f t="shared" ca="1" si="128"/>
        <v>11.914945130565734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10.367629969990801</v>
      </c>
      <c r="C732" s="20">
        <f t="shared" ca="1" si="131"/>
        <v>10.600843289122729</v>
      </c>
      <c r="D732" s="21">
        <f t="shared" ref="D732:G751" ca="1" si="133">IF(AND(ISNUMBER($D$1),$F$1&gt;0,ISNUMBER(D$11),D$11&lt;=$H$1),_xlfn.NORM.INV(RAND(),$D$1,SQRT($F$1)),"")</f>
        <v>10.600843289122729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7.6615388740455952</v>
      </c>
      <c r="C733" s="20">
        <f t="shared" ca="1" si="131"/>
        <v>14.678098190154287</v>
      </c>
      <c r="D733" s="21">
        <f t="shared" ca="1" si="133"/>
        <v>14.678098190154287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11.400181317609011</v>
      </c>
      <c r="C734" s="20">
        <f t="shared" ca="1" si="131"/>
        <v>11.58139338834102</v>
      </c>
      <c r="D734" s="21">
        <f t="shared" ca="1" si="133"/>
        <v>11.58139338834102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9.186202728480108</v>
      </c>
      <c r="C735" s="20">
        <f t="shared" ca="1" si="131"/>
        <v>9.1557321902620554</v>
      </c>
      <c r="D735" s="21">
        <f t="shared" ca="1" si="133"/>
        <v>9.1557321902620554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7.836291225798683</v>
      </c>
      <c r="C736" s="20">
        <f t="shared" ca="1" si="131"/>
        <v>10.48413809990814</v>
      </c>
      <c r="D736" s="21">
        <f t="shared" ca="1" si="133"/>
        <v>10.48413809990814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7.221826815352304</v>
      </c>
      <c r="C737" s="20">
        <f t="shared" ca="1" si="131"/>
        <v>11.298614179570006</v>
      </c>
      <c r="D737" s="21">
        <f t="shared" ca="1" si="133"/>
        <v>11.298614179570006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8.1795780221388448</v>
      </c>
      <c r="C738" s="20">
        <f t="shared" ca="1" si="131"/>
        <v>14.273342033303923</v>
      </c>
      <c r="D738" s="21">
        <f t="shared" ca="1" si="133"/>
        <v>14.273342033303923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9.3084651451684195</v>
      </c>
      <c r="C739" s="20">
        <f t="shared" ca="1" si="131"/>
        <v>9.0862550576590255</v>
      </c>
      <c r="D739" s="21">
        <f t="shared" ca="1" si="133"/>
        <v>9.0862550576590255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10.737711613975801</v>
      </c>
      <c r="C740" s="20">
        <f t="shared" ca="1" si="131"/>
        <v>11.121081226970951</v>
      </c>
      <c r="D740" s="21">
        <f t="shared" ca="1" si="133"/>
        <v>11.121081226970951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10.837852258573729</v>
      </c>
      <c r="C741" s="20">
        <f t="shared" ca="1" si="131"/>
        <v>7.0772624600761134</v>
      </c>
      <c r="D741" s="21">
        <f t="shared" ca="1" si="133"/>
        <v>7.0772624600761134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11.312881726601196</v>
      </c>
      <c r="C742" s="20">
        <f t="shared" ca="1" si="131"/>
        <v>11.671950567506812</v>
      </c>
      <c r="D742" s="21">
        <f t="shared" ca="1" si="133"/>
        <v>11.671950567506812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10.10777826633112</v>
      </c>
      <c r="C743" s="20">
        <f t="shared" ca="1" si="131"/>
        <v>14.468180946886307</v>
      </c>
      <c r="D743" s="21">
        <f t="shared" ca="1" si="133"/>
        <v>14.468180946886307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9.8514695623389006</v>
      </c>
      <c r="C744" s="20">
        <f t="shared" ca="1" si="131"/>
        <v>10.734308528483206</v>
      </c>
      <c r="D744" s="21">
        <f t="shared" ca="1" si="133"/>
        <v>10.734308528483206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8.4895780501658358</v>
      </c>
      <c r="C745" s="20">
        <f t="shared" ca="1" si="131"/>
        <v>7.0679919730854204</v>
      </c>
      <c r="D745" s="21">
        <f t="shared" ca="1" si="133"/>
        <v>7.0679919730854204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8.0443767278113292</v>
      </c>
      <c r="C746" s="20">
        <f t="shared" ca="1" si="131"/>
        <v>12.347180186314825</v>
      </c>
      <c r="D746" s="21">
        <f t="shared" ca="1" si="133"/>
        <v>12.347180186314825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8.5094938965607465</v>
      </c>
      <c r="C747" s="20">
        <f t="shared" ca="1" si="131"/>
        <v>11.144523175853777</v>
      </c>
      <c r="D747" s="21">
        <f t="shared" ca="1" si="133"/>
        <v>11.144523175853777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7.8261557787697109</v>
      </c>
      <c r="C748" s="20">
        <f t="shared" ca="1" si="131"/>
        <v>9.1887997601347227</v>
      </c>
      <c r="D748" s="21">
        <f t="shared" ca="1" si="133"/>
        <v>9.1887997601347227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11.995320293355512</v>
      </c>
      <c r="C749" s="20">
        <f t="shared" ca="1" si="131"/>
        <v>7.8922903467467584</v>
      </c>
      <c r="D749" s="21">
        <f t="shared" ca="1" si="133"/>
        <v>7.8922903467467584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10.92356343588842</v>
      </c>
      <c r="C750" s="20">
        <f t="shared" ca="1" si="131"/>
        <v>12.713322108866214</v>
      </c>
      <c r="D750" s="21">
        <f t="shared" ca="1" si="133"/>
        <v>12.713322108866214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14.734386792126624</v>
      </c>
      <c r="C751" s="20">
        <f t="shared" ca="1" si="131"/>
        <v>11.083497810112156</v>
      </c>
      <c r="D751" s="21">
        <f t="shared" ca="1" si="133"/>
        <v>11.083497810112156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7.8662703608382607</v>
      </c>
      <c r="C752" s="20">
        <f t="shared" ca="1" si="131"/>
        <v>5.8976009302917687</v>
      </c>
      <c r="D752" s="21">
        <f t="shared" ref="D752:G771" ca="1" si="136">IF(AND(ISNUMBER($D$1),$F$1&gt;0,ISNUMBER(D$11),D$11&lt;=$H$1),_xlfn.NORM.INV(RAND(),$D$1,SQRT($F$1)),"")</f>
        <v>5.8976009302917687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10.213353149758179</v>
      </c>
      <c r="C753" s="20">
        <f t="shared" ca="1" si="131"/>
        <v>9.189635313376705</v>
      </c>
      <c r="D753" s="21">
        <f t="shared" ca="1" si="136"/>
        <v>9.189635313376705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11.179260437095165</v>
      </c>
      <c r="C754" s="20">
        <f t="shared" ca="1" si="131"/>
        <v>8.207929485091169</v>
      </c>
      <c r="D754" s="21">
        <f t="shared" ca="1" si="136"/>
        <v>8.207929485091169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10.76747237825848</v>
      </c>
      <c r="C755" s="20">
        <f t="shared" ca="1" si="131"/>
        <v>9.2170011208529683</v>
      </c>
      <c r="D755" s="21">
        <f t="shared" ca="1" si="136"/>
        <v>9.2170011208529683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12.306613004890753</v>
      </c>
      <c r="C756" s="20">
        <f t="shared" ca="1" si="131"/>
        <v>7.7438193868611016</v>
      </c>
      <c r="D756" s="21">
        <f t="shared" ca="1" si="136"/>
        <v>7.7438193868611016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8.3494874185798409</v>
      </c>
      <c r="C757" s="20">
        <f t="shared" ca="1" si="131"/>
        <v>8.2376149074141125</v>
      </c>
      <c r="D757" s="21">
        <f t="shared" ca="1" si="136"/>
        <v>8.2376149074141125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11.545947535354596</v>
      </c>
      <c r="C758" s="20">
        <f t="shared" ca="1" si="131"/>
        <v>10.610056307285936</v>
      </c>
      <c r="D758" s="21">
        <f t="shared" ca="1" si="136"/>
        <v>10.610056307285936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11.688071289192751</v>
      </c>
      <c r="C759" s="20">
        <f t="shared" ca="1" si="131"/>
        <v>10.787276952764525</v>
      </c>
      <c r="D759" s="21">
        <f t="shared" ca="1" si="136"/>
        <v>10.787276952764525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11.791780490191632</v>
      </c>
      <c r="C760" s="20">
        <f t="shared" ca="1" si="131"/>
        <v>10.589786707171438</v>
      </c>
      <c r="D760" s="21">
        <f t="shared" ca="1" si="136"/>
        <v>10.589786707171438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7.3902201757806534</v>
      </c>
      <c r="C761" s="20">
        <f t="shared" ca="1" si="131"/>
        <v>10.535235303005077</v>
      </c>
      <c r="D761" s="21">
        <f t="shared" ca="1" si="136"/>
        <v>10.535235303005077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10.188474363034208</v>
      </c>
      <c r="C762" s="20">
        <f t="shared" ca="1" si="131"/>
        <v>11.146412502160155</v>
      </c>
      <c r="D762" s="21">
        <f t="shared" ca="1" si="136"/>
        <v>11.146412502160155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12.005925274581928</v>
      </c>
      <c r="C763" s="20">
        <f t="shared" ca="1" si="131"/>
        <v>9.0385480196777372</v>
      </c>
      <c r="D763" s="21">
        <f t="shared" ca="1" si="136"/>
        <v>9.0385480196777372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8.3831477047673832</v>
      </c>
      <c r="C764" s="20">
        <f t="shared" ca="1" si="131"/>
        <v>12.82331289122372</v>
      </c>
      <c r="D764" s="21">
        <f t="shared" ca="1" si="136"/>
        <v>12.82331289122372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10.112617217752453</v>
      </c>
      <c r="C765" s="20">
        <f t="shared" ca="1" si="131"/>
        <v>6.5876590811490079</v>
      </c>
      <c r="D765" s="21">
        <f t="shared" ca="1" si="136"/>
        <v>6.5876590811490079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8.9767630571462185</v>
      </c>
      <c r="C766" s="20">
        <f t="shared" ca="1" si="131"/>
        <v>10.129533608553258</v>
      </c>
      <c r="D766" s="21">
        <f t="shared" ca="1" si="136"/>
        <v>10.129533608553258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12.980065669047066</v>
      </c>
      <c r="C767" s="20">
        <f t="shared" ca="1" si="131"/>
        <v>10.743410592005318</v>
      </c>
      <c r="D767" s="21">
        <f t="shared" ca="1" si="136"/>
        <v>10.743410592005318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9.8706322532060629</v>
      </c>
      <c r="C768" s="20">
        <f t="shared" ca="1" si="131"/>
        <v>8.9930176630526244</v>
      </c>
      <c r="D768" s="21">
        <f t="shared" ca="1" si="136"/>
        <v>8.9930176630526244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7.8861818897616445</v>
      </c>
      <c r="C769" s="20">
        <f t="shared" ca="1" si="131"/>
        <v>10.38964273284102</v>
      </c>
      <c r="D769" s="21">
        <f t="shared" ca="1" si="136"/>
        <v>10.38964273284102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10.670504641549989</v>
      </c>
      <c r="C770" s="20">
        <f t="shared" ca="1" si="131"/>
        <v>7.7640923415940701</v>
      </c>
      <c r="D770" s="21">
        <f t="shared" ca="1" si="136"/>
        <v>7.7640923415940701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9.8914445339661636</v>
      </c>
      <c r="C771" s="20">
        <f t="shared" ca="1" si="131"/>
        <v>11.460305458699317</v>
      </c>
      <c r="D771" s="21">
        <f t="shared" ca="1" si="136"/>
        <v>11.460305458699317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11.606242334541649</v>
      </c>
      <c r="C772" s="20">
        <f t="shared" ca="1" si="131"/>
        <v>12.963517731012161</v>
      </c>
      <c r="D772" s="21">
        <f t="shared" ref="D772:G791" ca="1" si="139">IF(AND(ISNUMBER($D$1),$F$1&gt;0,ISNUMBER(D$11),D$11&lt;=$H$1),_xlfn.NORM.INV(RAND(),$D$1,SQRT($F$1)),"")</f>
        <v>12.963517731012161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8.356215921801212</v>
      </c>
      <c r="C773" s="20">
        <f t="shared" ca="1" si="131"/>
        <v>11.085593043817155</v>
      </c>
      <c r="D773" s="21">
        <f t="shared" ca="1" si="139"/>
        <v>11.085593043817155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10.47182198324821</v>
      </c>
      <c r="C774" s="20">
        <f t="shared" ca="1" si="131"/>
        <v>11.127059687976088</v>
      </c>
      <c r="D774" s="21">
        <f t="shared" ca="1" si="139"/>
        <v>11.127059687976088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9.8046290031071628</v>
      </c>
      <c r="C775" s="20">
        <f t="shared" ca="1" si="131"/>
        <v>5.7823385750200682</v>
      </c>
      <c r="D775" s="21">
        <f t="shared" ca="1" si="139"/>
        <v>5.7823385750200682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10.637236302470651</v>
      </c>
      <c r="C776" s="20">
        <f t="shared" ca="1" si="131"/>
        <v>12.66384771524501</v>
      </c>
      <c r="D776" s="21">
        <f t="shared" ca="1" si="139"/>
        <v>12.66384771524501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14.195094707834571</v>
      </c>
      <c r="C777" s="20">
        <f t="shared" ca="1" si="131"/>
        <v>11.602218657734262</v>
      </c>
      <c r="D777" s="21">
        <f t="shared" ca="1" si="139"/>
        <v>11.602218657734262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12.645043325334848</v>
      </c>
      <c r="C778" s="20">
        <f t="shared" ca="1" si="131"/>
        <v>6.9561862794748945</v>
      </c>
      <c r="D778" s="21">
        <f t="shared" ca="1" si="139"/>
        <v>6.9561862794748945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6.6405612581695008</v>
      </c>
      <c r="C779" s="20">
        <f t="shared" ca="1" si="131"/>
        <v>11.010647524953198</v>
      </c>
      <c r="D779" s="21">
        <f t="shared" ca="1" si="139"/>
        <v>11.010647524953198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10.441084551547636</v>
      </c>
      <c r="C780" s="20">
        <f t="shared" ca="1" si="131"/>
        <v>10.689656276968979</v>
      </c>
      <c r="D780" s="21">
        <f t="shared" ca="1" si="139"/>
        <v>10.689656276968979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8.7603908177923202</v>
      </c>
      <c r="C781" s="20">
        <f t="shared" ref="C781:C844" ca="1" si="142">IF(AND($H$1&gt;=1,ISNUMBER(D781)),AVERAGE(D781:W781),"")</f>
        <v>7.3671243358922194</v>
      </c>
      <c r="D781" s="21">
        <f t="shared" ca="1" si="139"/>
        <v>7.3671243358922194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7.7817932244930184</v>
      </c>
      <c r="C782" s="20">
        <f t="shared" ca="1" si="142"/>
        <v>9.8729023520028054</v>
      </c>
      <c r="D782" s="21">
        <f t="shared" ca="1" si="139"/>
        <v>9.8729023520028054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10.68915830963638</v>
      </c>
      <c r="C783" s="20">
        <f t="shared" ca="1" si="142"/>
        <v>7.6142138942147923</v>
      </c>
      <c r="D783" s="21">
        <f t="shared" ca="1" si="139"/>
        <v>7.6142138942147923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12.448754784552658</v>
      </c>
      <c r="C784" s="20">
        <f t="shared" ca="1" si="142"/>
        <v>12.456624583468143</v>
      </c>
      <c r="D784" s="21">
        <f t="shared" ca="1" si="139"/>
        <v>12.456624583468143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12.369456201704214</v>
      </c>
      <c r="C785" s="20">
        <f t="shared" ca="1" si="142"/>
        <v>7.5691981741508911</v>
      </c>
      <c r="D785" s="21">
        <f t="shared" ca="1" si="139"/>
        <v>7.5691981741508911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10.384859993366771</v>
      </c>
      <c r="C786" s="20">
        <f t="shared" ca="1" si="142"/>
        <v>7.3944341281733745</v>
      </c>
      <c r="D786" s="21">
        <f t="shared" ca="1" si="139"/>
        <v>7.3944341281733745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11.047526125279518</v>
      </c>
      <c r="C787" s="20">
        <f t="shared" ca="1" si="142"/>
        <v>14.549033530649012</v>
      </c>
      <c r="D787" s="21">
        <f t="shared" ca="1" si="139"/>
        <v>14.549033530649012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10.302279067200965</v>
      </c>
      <c r="C788" s="20">
        <f t="shared" ca="1" si="142"/>
        <v>11.917819719012339</v>
      </c>
      <c r="D788" s="21">
        <f t="shared" ca="1" si="139"/>
        <v>11.917819719012339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9.8214442578949885</v>
      </c>
      <c r="C789" s="20">
        <f t="shared" ca="1" si="142"/>
        <v>10.467476189581383</v>
      </c>
      <c r="D789" s="21">
        <f t="shared" ca="1" si="139"/>
        <v>10.467476189581383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11.399741500547497</v>
      </c>
      <c r="C790" s="20">
        <f t="shared" ca="1" si="142"/>
        <v>11.01974713518211</v>
      </c>
      <c r="D790" s="21">
        <f t="shared" ca="1" si="139"/>
        <v>11.01974713518211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6.8378139201522785</v>
      </c>
      <c r="C791" s="20">
        <f t="shared" ca="1" si="142"/>
        <v>10.051503132876729</v>
      </c>
      <c r="D791" s="21">
        <f t="shared" ca="1" si="139"/>
        <v>10.051503132876729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9.1189189137515871</v>
      </c>
      <c r="C792" s="20">
        <f t="shared" ca="1" si="142"/>
        <v>7.1708752215799016</v>
      </c>
      <c r="D792" s="21">
        <f t="shared" ref="D792:G811" ca="1" si="144">IF(AND(ISNUMBER($D$1),$F$1&gt;0,ISNUMBER(D$11),D$11&lt;=$H$1),_xlfn.NORM.INV(RAND(),$D$1,SQRT($F$1)),"")</f>
        <v>7.1708752215799016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10.866737929737653</v>
      </c>
      <c r="C793" s="20">
        <f t="shared" ca="1" si="142"/>
        <v>8.6572239933033188</v>
      </c>
      <c r="D793" s="21">
        <f t="shared" ca="1" si="144"/>
        <v>8.6572239933033188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10.914040824909314</v>
      </c>
      <c r="C794" s="20">
        <f t="shared" ca="1" si="142"/>
        <v>9.5024457653490106</v>
      </c>
      <c r="D794" s="21">
        <f t="shared" ca="1" si="144"/>
        <v>9.5024457653490106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9.6412507303108494</v>
      </c>
      <c r="C795" s="20">
        <f t="shared" ca="1" si="142"/>
        <v>15.221277883614798</v>
      </c>
      <c r="D795" s="21">
        <f t="shared" ca="1" si="144"/>
        <v>15.221277883614798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8.1152377616317093</v>
      </c>
      <c r="C796" s="20">
        <f t="shared" ca="1" si="142"/>
        <v>12.478926092810976</v>
      </c>
      <c r="D796" s="21">
        <f t="shared" ca="1" si="144"/>
        <v>12.478926092810976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8.286020110391302</v>
      </c>
      <c r="C797" s="20">
        <f t="shared" ca="1" si="142"/>
        <v>9.4963383110477331</v>
      </c>
      <c r="D797" s="21">
        <f t="shared" ca="1" si="144"/>
        <v>9.4963383110477331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8.3576781259320665</v>
      </c>
      <c r="C798" s="20">
        <f t="shared" ca="1" si="142"/>
        <v>7.4123130364356555</v>
      </c>
      <c r="D798" s="21">
        <f t="shared" ca="1" si="144"/>
        <v>7.4123130364356555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13.513152408627473</v>
      </c>
      <c r="C799" s="20">
        <f t="shared" ca="1" si="142"/>
        <v>10.447311470477961</v>
      </c>
      <c r="D799" s="21">
        <f t="shared" ca="1" si="144"/>
        <v>10.447311470477961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10.111251634870175</v>
      </c>
      <c r="C800" s="20">
        <f t="shared" ca="1" si="142"/>
        <v>10.983012652930071</v>
      </c>
      <c r="D800" s="21">
        <f t="shared" ca="1" si="144"/>
        <v>10.983012652930071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7.6609808369023868</v>
      </c>
      <c r="C801" s="20">
        <f t="shared" ca="1" si="142"/>
        <v>9.3268746226576571</v>
      </c>
      <c r="D801" s="21">
        <f t="shared" ca="1" si="144"/>
        <v>9.3268746226576571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10.888567909000741</v>
      </c>
      <c r="C802" s="20">
        <f t="shared" ca="1" si="142"/>
        <v>9.5262963770566778</v>
      </c>
      <c r="D802" s="21">
        <f t="shared" ca="1" si="144"/>
        <v>9.5262963770566778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8.7953257297884555</v>
      </c>
      <c r="C803" s="20">
        <f t="shared" ca="1" si="142"/>
        <v>12.176115433128224</v>
      </c>
      <c r="D803" s="21">
        <f t="shared" ca="1" si="144"/>
        <v>12.176115433128224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10.664092195553737</v>
      </c>
      <c r="C804" s="20">
        <f t="shared" ca="1" si="142"/>
        <v>12.609963027460985</v>
      </c>
      <c r="D804" s="21">
        <f t="shared" ca="1" si="144"/>
        <v>12.609963027460985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7.7852140795809301</v>
      </c>
      <c r="C805" s="20">
        <f t="shared" ca="1" si="142"/>
        <v>3.7119041453371162</v>
      </c>
      <c r="D805" s="21">
        <f t="shared" ca="1" si="144"/>
        <v>3.7119041453371162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10.388645650980155</v>
      </c>
      <c r="C806" s="20">
        <f t="shared" ca="1" si="142"/>
        <v>4.5307166232547633</v>
      </c>
      <c r="D806" s="21">
        <f t="shared" ca="1" si="144"/>
        <v>4.5307166232547633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9.1332607111452653</v>
      </c>
      <c r="C807" s="20">
        <f t="shared" ca="1" si="142"/>
        <v>11.461871473430543</v>
      </c>
      <c r="D807" s="21">
        <f t="shared" ca="1" si="144"/>
        <v>11.461871473430543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12.30363989918609</v>
      </c>
      <c r="C808" s="20">
        <f t="shared" ca="1" si="142"/>
        <v>12.771694481816656</v>
      </c>
      <c r="D808" s="21">
        <f t="shared" ca="1" si="144"/>
        <v>12.771694481816656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9.0900437084994294</v>
      </c>
      <c r="C809" s="20">
        <f t="shared" ca="1" si="142"/>
        <v>12.005403177832022</v>
      </c>
      <c r="D809" s="21">
        <f t="shared" ca="1" si="144"/>
        <v>12.005403177832022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10.300318755000111</v>
      </c>
      <c r="C810" s="20">
        <f t="shared" ca="1" si="142"/>
        <v>7.7684926734156381</v>
      </c>
      <c r="D810" s="21">
        <f t="shared" ca="1" si="144"/>
        <v>7.7684926734156381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8.1682385561954565</v>
      </c>
      <c r="C811" s="20">
        <f t="shared" ca="1" si="142"/>
        <v>10.244805167303081</v>
      </c>
      <c r="D811" s="21">
        <f t="shared" ca="1" si="144"/>
        <v>10.244805167303081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9.8886513608097459</v>
      </c>
      <c r="C812" s="20">
        <f t="shared" ca="1" si="142"/>
        <v>9.9361226847033599</v>
      </c>
      <c r="D812" s="21">
        <f t="shared" ref="D812:G831" ca="1" si="147">IF(AND(ISNUMBER($D$1),$F$1&gt;0,ISNUMBER(D$11),D$11&lt;=$H$1),_xlfn.NORM.INV(RAND(),$D$1,SQRT($F$1)),"")</f>
        <v>9.9361226847033599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8.6401632681707117</v>
      </c>
      <c r="C813" s="20">
        <f t="shared" ca="1" si="142"/>
        <v>10.270202167071682</v>
      </c>
      <c r="D813" s="21">
        <f t="shared" ca="1" si="147"/>
        <v>10.270202167071682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9.6427616778051686</v>
      </c>
      <c r="C814" s="20">
        <f t="shared" ca="1" si="142"/>
        <v>7.258127597677718</v>
      </c>
      <c r="D814" s="21">
        <f t="shared" ca="1" si="147"/>
        <v>7.258127597677718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9.080092957176257</v>
      </c>
      <c r="C815" s="20">
        <f t="shared" ca="1" si="142"/>
        <v>9.3612776571913319</v>
      </c>
      <c r="D815" s="21">
        <f t="shared" ca="1" si="147"/>
        <v>9.3612776571913319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9.2064574412000777</v>
      </c>
      <c r="C816" s="20">
        <f t="shared" ca="1" si="142"/>
        <v>7.4290550688385224</v>
      </c>
      <c r="D816" s="21">
        <f t="shared" ca="1" si="147"/>
        <v>7.4290550688385224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10.985513428916059</v>
      </c>
      <c r="C817" s="20">
        <f t="shared" ca="1" si="142"/>
        <v>12.04708591434566</v>
      </c>
      <c r="D817" s="21">
        <f t="shared" ca="1" si="147"/>
        <v>12.04708591434566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11.525539717392165</v>
      </c>
      <c r="C818" s="20">
        <f t="shared" ca="1" si="142"/>
        <v>8.8570483762860768</v>
      </c>
      <c r="D818" s="21">
        <f t="shared" ca="1" si="147"/>
        <v>8.8570483762860768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11.632465304830877</v>
      </c>
      <c r="C819" s="20">
        <f t="shared" ca="1" si="142"/>
        <v>11.086565299013104</v>
      </c>
      <c r="D819" s="21">
        <f t="shared" ca="1" si="147"/>
        <v>11.086565299013104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8.646017181442506</v>
      </c>
      <c r="C820" s="20">
        <f t="shared" ca="1" si="142"/>
        <v>9.4744753715014323</v>
      </c>
      <c r="D820" s="21">
        <f t="shared" ca="1" si="147"/>
        <v>9.4744753715014323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12.467294854041493</v>
      </c>
      <c r="C821" s="20">
        <f t="shared" ca="1" si="142"/>
        <v>13.886300503010679</v>
      </c>
      <c r="D821" s="21">
        <f t="shared" ca="1" si="147"/>
        <v>13.886300503010679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9.597583780712954</v>
      </c>
      <c r="C822" s="20">
        <f t="shared" ca="1" si="142"/>
        <v>11.834455982561643</v>
      </c>
      <c r="D822" s="21">
        <f t="shared" ca="1" si="147"/>
        <v>11.834455982561643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10.473327091884865</v>
      </c>
      <c r="C823" s="20">
        <f t="shared" ca="1" si="142"/>
        <v>11.275922199466004</v>
      </c>
      <c r="D823" s="21">
        <f t="shared" ca="1" si="147"/>
        <v>11.275922199466004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11.800816829442194</v>
      </c>
      <c r="C824" s="20">
        <f t="shared" ca="1" si="142"/>
        <v>11.323714945227401</v>
      </c>
      <c r="D824" s="21">
        <f t="shared" ca="1" si="147"/>
        <v>11.323714945227401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8.9472630566920586</v>
      </c>
      <c r="C825" s="20">
        <f t="shared" ca="1" si="142"/>
        <v>8.7069856001406389</v>
      </c>
      <c r="D825" s="21">
        <f t="shared" ca="1" si="147"/>
        <v>8.7069856001406389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5.8910929310176332</v>
      </c>
      <c r="C826" s="20">
        <f t="shared" ca="1" si="142"/>
        <v>10.216736899635238</v>
      </c>
      <c r="D826" s="21">
        <f t="shared" ca="1" si="147"/>
        <v>10.216736899635238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11.270715709063342</v>
      </c>
      <c r="C827" s="20">
        <f t="shared" ca="1" si="142"/>
        <v>9.0444656558252507</v>
      </c>
      <c r="D827" s="21">
        <f t="shared" ca="1" si="147"/>
        <v>9.0444656558252507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9.6841006541175823</v>
      </c>
      <c r="C828" s="20">
        <f t="shared" ca="1" si="142"/>
        <v>8.9174462785987583</v>
      </c>
      <c r="D828" s="21">
        <f t="shared" ca="1" si="147"/>
        <v>8.9174462785987583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10.796638180330925</v>
      </c>
      <c r="C829" s="20">
        <f t="shared" ca="1" si="142"/>
        <v>10.250066958993372</v>
      </c>
      <c r="D829" s="21">
        <f t="shared" ca="1" si="147"/>
        <v>10.250066958993372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8.8697648024529236</v>
      </c>
      <c r="C830" s="20">
        <f t="shared" ca="1" si="142"/>
        <v>10.002315972801588</v>
      </c>
      <c r="D830" s="21">
        <f t="shared" ca="1" si="147"/>
        <v>10.002315972801588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12.497182616977355</v>
      </c>
      <c r="C831" s="20">
        <f t="shared" ca="1" si="142"/>
        <v>9.8289686600753363</v>
      </c>
      <c r="D831" s="21">
        <f t="shared" ca="1" si="147"/>
        <v>9.8289686600753363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9.0862554923191059</v>
      </c>
      <c r="C832" s="20">
        <f t="shared" ca="1" si="142"/>
        <v>10.725829763957863</v>
      </c>
      <c r="D832" s="21">
        <f t="shared" ref="D832:G851" ca="1" si="150">IF(AND(ISNUMBER($D$1),$F$1&gt;0,ISNUMBER(D$11),D$11&lt;=$H$1),_xlfn.NORM.INV(RAND(),$D$1,SQRT($F$1)),"")</f>
        <v>10.725829763957863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6.6709029567312106</v>
      </c>
      <c r="C833" s="20">
        <f t="shared" ca="1" si="142"/>
        <v>9.2340254663650931</v>
      </c>
      <c r="D833" s="21">
        <f t="shared" ca="1" si="150"/>
        <v>9.2340254663650931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10.199096667446852</v>
      </c>
      <c r="C834" s="20">
        <f t="shared" ca="1" si="142"/>
        <v>11.254942602589994</v>
      </c>
      <c r="D834" s="21">
        <f t="shared" ca="1" si="150"/>
        <v>11.254942602589994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13.286559106727086</v>
      </c>
      <c r="C835" s="20">
        <f t="shared" ca="1" si="142"/>
        <v>8.2319730512803773</v>
      </c>
      <c r="D835" s="21">
        <f t="shared" ca="1" si="150"/>
        <v>8.2319730512803773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10.69624946611586</v>
      </c>
      <c r="C836" s="20">
        <f t="shared" ca="1" si="142"/>
        <v>13.493382937366167</v>
      </c>
      <c r="D836" s="21">
        <f t="shared" ca="1" si="150"/>
        <v>13.493382937366167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10.795177432016684</v>
      </c>
      <c r="C837" s="20">
        <f t="shared" ca="1" si="142"/>
        <v>8.7355218721054584</v>
      </c>
      <c r="D837" s="21">
        <f t="shared" ca="1" si="150"/>
        <v>8.7355218721054584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10.459294876828181</v>
      </c>
      <c r="C838" s="20">
        <f t="shared" ca="1" si="142"/>
        <v>8.0366259958398718</v>
      </c>
      <c r="D838" s="21">
        <f t="shared" ca="1" si="150"/>
        <v>8.0366259958398718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7.8314967171603733</v>
      </c>
      <c r="C839" s="20">
        <f t="shared" ca="1" si="142"/>
        <v>10.866378385477466</v>
      </c>
      <c r="D839" s="21">
        <f t="shared" ca="1" si="150"/>
        <v>10.866378385477466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10.202352489322408</v>
      </c>
      <c r="C840" s="20">
        <f t="shared" ca="1" si="142"/>
        <v>9.5571942730815422</v>
      </c>
      <c r="D840" s="21">
        <f t="shared" ca="1" si="150"/>
        <v>9.5571942730815422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9.4404588734501065</v>
      </c>
      <c r="C841" s="20">
        <f t="shared" ca="1" si="142"/>
        <v>9.2633362885317929</v>
      </c>
      <c r="D841" s="21">
        <f t="shared" ca="1" si="150"/>
        <v>9.2633362885317929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13.695819101438632</v>
      </c>
      <c r="C842" s="20">
        <f t="shared" ca="1" si="142"/>
        <v>12.03034366790363</v>
      </c>
      <c r="D842" s="21">
        <f t="shared" ca="1" si="150"/>
        <v>12.03034366790363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10.970073852475972</v>
      </c>
      <c r="C843" s="20">
        <f t="shared" ca="1" si="142"/>
        <v>9.2594852577291942</v>
      </c>
      <c r="D843" s="21">
        <f t="shared" ca="1" si="150"/>
        <v>9.2594852577291942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13.866929710110721</v>
      </c>
      <c r="C844" s="20">
        <f t="shared" ca="1" si="142"/>
        <v>10.879804375612792</v>
      </c>
      <c r="D844" s="21">
        <f t="shared" ca="1" si="150"/>
        <v>10.879804375612792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10.70984855873095</v>
      </c>
      <c r="C845" s="20">
        <f t="shared" ref="C845:C908" ca="1" si="154">IF(AND($H$1&gt;=1,ISNUMBER(D845)),AVERAGE(D845:W845),"")</f>
        <v>8.9371586309487068</v>
      </c>
      <c r="D845" s="21">
        <f t="shared" ca="1" si="150"/>
        <v>8.9371586309487068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13.875456934879185</v>
      </c>
      <c r="C846" s="20">
        <f t="shared" ca="1" si="154"/>
        <v>10.009041868489224</v>
      </c>
      <c r="D846" s="21">
        <f t="shared" ca="1" si="150"/>
        <v>10.009041868489224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13.10066597601225</v>
      </c>
      <c r="C847" s="20">
        <f t="shared" ca="1" si="154"/>
        <v>11.095239285864013</v>
      </c>
      <c r="D847" s="21">
        <f t="shared" ca="1" si="150"/>
        <v>11.095239285864013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11.074773696364892</v>
      </c>
      <c r="C848" s="20">
        <f t="shared" ca="1" si="154"/>
        <v>11.855343930035321</v>
      </c>
      <c r="D848" s="21">
        <f t="shared" ca="1" si="150"/>
        <v>11.855343930035321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11.625736439609165</v>
      </c>
      <c r="C849" s="20">
        <f t="shared" ca="1" si="154"/>
        <v>10.275394376718747</v>
      </c>
      <c r="D849" s="21">
        <f t="shared" ca="1" si="150"/>
        <v>10.275394376718747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8.7731349349790193</v>
      </c>
      <c r="C850" s="20">
        <f t="shared" ca="1" si="154"/>
        <v>9.5665723442469979</v>
      </c>
      <c r="D850" s="21">
        <f t="shared" ca="1" si="150"/>
        <v>9.5665723442469979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8.7321705802953264</v>
      </c>
      <c r="C851" s="20">
        <f t="shared" ca="1" si="154"/>
        <v>9.7196832778682349</v>
      </c>
      <c r="D851" s="21">
        <f t="shared" ca="1" si="150"/>
        <v>9.7196832778682349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9.3404973469707535</v>
      </c>
      <c r="C852" s="20">
        <f t="shared" ca="1" si="154"/>
        <v>9.7369962667948524</v>
      </c>
      <c r="D852" s="21">
        <f t="shared" ref="D852:G871" ca="1" si="155">IF(AND(ISNUMBER($D$1),$F$1&gt;0,ISNUMBER(D$11),D$11&lt;=$H$1),_xlfn.NORM.INV(RAND(),$D$1,SQRT($F$1)),"")</f>
        <v>9.7369962667948524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9.0848719371314459</v>
      </c>
      <c r="C853" s="20">
        <f t="shared" ca="1" si="154"/>
        <v>10.183787986851218</v>
      </c>
      <c r="D853" s="21">
        <f t="shared" ca="1" si="155"/>
        <v>10.183787986851218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8.0489392903962003</v>
      </c>
      <c r="C854" s="20">
        <f t="shared" ca="1" si="154"/>
        <v>11.984785454197525</v>
      </c>
      <c r="D854" s="21">
        <f t="shared" ca="1" si="155"/>
        <v>11.984785454197525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6.3565217240052432</v>
      </c>
      <c r="C855" s="20">
        <f t="shared" ca="1" si="154"/>
        <v>11.815737288026938</v>
      </c>
      <c r="D855" s="21">
        <f t="shared" ca="1" si="155"/>
        <v>11.815737288026938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9.3315564577403514</v>
      </c>
      <c r="C856" s="20">
        <f t="shared" ca="1" si="154"/>
        <v>10.02402225547006</v>
      </c>
      <c r="D856" s="21">
        <f t="shared" ca="1" si="155"/>
        <v>10.02402225547006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7.3358717375974898</v>
      </c>
      <c r="C857" s="20">
        <f t="shared" ca="1" si="154"/>
        <v>7.7671148693912242</v>
      </c>
      <c r="D857" s="21">
        <f t="shared" ca="1" si="155"/>
        <v>7.7671148693912242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9.6052549144385431</v>
      </c>
      <c r="C858" s="20">
        <f t="shared" ca="1" si="154"/>
        <v>10.662067403191257</v>
      </c>
      <c r="D858" s="21">
        <f t="shared" ca="1" si="155"/>
        <v>10.662067403191257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12.238481839019695</v>
      </c>
      <c r="C859" s="20">
        <f t="shared" ca="1" si="154"/>
        <v>10.804978650199519</v>
      </c>
      <c r="D859" s="21">
        <f t="shared" ca="1" si="155"/>
        <v>10.804978650199519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10.450753771038627</v>
      </c>
      <c r="C860" s="20">
        <f t="shared" ca="1" si="154"/>
        <v>12.708745138863252</v>
      </c>
      <c r="D860" s="21">
        <f t="shared" ca="1" si="155"/>
        <v>12.708745138863252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9.0634101895688186</v>
      </c>
      <c r="C861" s="20">
        <f t="shared" ca="1" si="154"/>
        <v>9.5798837402040871</v>
      </c>
      <c r="D861" s="21">
        <f t="shared" ca="1" si="155"/>
        <v>9.5798837402040871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8.438280633333207</v>
      </c>
      <c r="C862" s="20">
        <f t="shared" ca="1" si="154"/>
        <v>11.588425978303627</v>
      </c>
      <c r="D862" s="21">
        <f t="shared" ca="1" si="155"/>
        <v>11.588425978303627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11.73623626988886</v>
      </c>
      <c r="C863" s="20">
        <f t="shared" ca="1" si="154"/>
        <v>11.660233967517543</v>
      </c>
      <c r="D863" s="21">
        <f t="shared" ca="1" si="155"/>
        <v>11.660233967517543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9.2265524389968405</v>
      </c>
      <c r="C864" s="20">
        <f t="shared" ca="1" si="154"/>
        <v>8.5949441394570805</v>
      </c>
      <c r="D864" s="21">
        <f t="shared" ca="1" si="155"/>
        <v>8.5949441394570805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11.816117404202851</v>
      </c>
      <c r="C865" s="20">
        <f t="shared" ca="1" si="154"/>
        <v>9.4267563425318475</v>
      </c>
      <c r="D865" s="21">
        <f t="shared" ca="1" si="155"/>
        <v>9.4267563425318475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11.219742452544549</v>
      </c>
      <c r="C866" s="20">
        <f t="shared" ca="1" si="154"/>
        <v>10.577864019959108</v>
      </c>
      <c r="D866" s="21">
        <f t="shared" ca="1" si="155"/>
        <v>10.577864019959108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11.417002908565488</v>
      </c>
      <c r="C867" s="20">
        <f t="shared" ca="1" si="154"/>
        <v>8.946962841689226</v>
      </c>
      <c r="D867" s="21">
        <f t="shared" ca="1" si="155"/>
        <v>8.946962841689226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10.623058449448191</v>
      </c>
      <c r="C868" s="20">
        <f t="shared" ca="1" si="154"/>
        <v>11.008669201409685</v>
      </c>
      <c r="D868" s="21">
        <f t="shared" ca="1" si="155"/>
        <v>11.008669201409685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9.7024645363009903</v>
      </c>
      <c r="C869" s="20">
        <f t="shared" ca="1" si="154"/>
        <v>8.2853678666215451</v>
      </c>
      <c r="D869" s="21">
        <f t="shared" ca="1" si="155"/>
        <v>8.2853678666215451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11.014501363861774</v>
      </c>
      <c r="C870" s="20">
        <f t="shared" ca="1" si="154"/>
        <v>10.261581643975763</v>
      </c>
      <c r="D870" s="21">
        <f t="shared" ca="1" si="155"/>
        <v>10.261581643975763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5.9608433693920029</v>
      </c>
      <c r="C871" s="20">
        <f t="shared" ca="1" si="154"/>
        <v>12.676716172492128</v>
      </c>
      <c r="D871" s="21">
        <f t="shared" ca="1" si="155"/>
        <v>12.676716172492128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8.2176004675082766</v>
      </c>
      <c r="C872" s="20">
        <f t="shared" ca="1" si="154"/>
        <v>9.4528322725845371</v>
      </c>
      <c r="D872" s="21">
        <f t="shared" ref="D872:G891" ca="1" si="158">IF(AND(ISNUMBER($D$1),$F$1&gt;0,ISNUMBER(D$11),D$11&lt;=$H$1),_xlfn.NORM.INV(RAND(),$D$1,SQRT($F$1)),"")</f>
        <v>9.4528322725845371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10.035574878109774</v>
      </c>
      <c r="C873" s="20">
        <f t="shared" ca="1" si="154"/>
        <v>6.518716815778852</v>
      </c>
      <c r="D873" s="21">
        <f t="shared" ca="1" si="158"/>
        <v>6.518716815778852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12.210726106134626</v>
      </c>
      <c r="C874" s="20">
        <f t="shared" ca="1" si="154"/>
        <v>10.227435373046578</v>
      </c>
      <c r="D874" s="21">
        <f t="shared" ca="1" si="158"/>
        <v>10.227435373046578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10.502656150045052</v>
      </c>
      <c r="C875" s="20">
        <f t="shared" ca="1" si="154"/>
        <v>8.5718615272466767</v>
      </c>
      <c r="D875" s="21">
        <f t="shared" ca="1" si="158"/>
        <v>8.5718615272466767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13.900932275874872</v>
      </c>
      <c r="C876" s="20">
        <f t="shared" ca="1" si="154"/>
        <v>9.2256123635535605</v>
      </c>
      <c r="D876" s="21">
        <f t="shared" ca="1" si="158"/>
        <v>9.2256123635535605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4.9783216345116479</v>
      </c>
      <c r="C877" s="20">
        <f t="shared" ca="1" si="154"/>
        <v>8.5475714327718837</v>
      </c>
      <c r="D877" s="21">
        <f t="shared" ca="1" si="158"/>
        <v>8.5475714327718837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9.0058745175268946</v>
      </c>
      <c r="C878" s="20">
        <f t="shared" ca="1" si="154"/>
        <v>8.3383332643279022</v>
      </c>
      <c r="D878" s="21">
        <f t="shared" ca="1" si="158"/>
        <v>8.3383332643279022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9.7396334090078636</v>
      </c>
      <c r="C879" s="20">
        <f t="shared" ca="1" si="154"/>
        <v>8.2392839589958733</v>
      </c>
      <c r="D879" s="21">
        <f t="shared" ca="1" si="158"/>
        <v>8.2392839589958733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8.1976401874904354</v>
      </c>
      <c r="C880" s="20">
        <f t="shared" ca="1" si="154"/>
        <v>11.256048179912128</v>
      </c>
      <c r="D880" s="21">
        <f t="shared" ca="1" si="158"/>
        <v>11.256048179912128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6.8906999741309303</v>
      </c>
      <c r="C881" s="20">
        <f t="shared" ca="1" si="154"/>
        <v>7.3318693304642366</v>
      </c>
      <c r="D881" s="21">
        <f t="shared" ca="1" si="158"/>
        <v>7.3318693304642366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12.490973092565623</v>
      </c>
      <c r="C882" s="20">
        <f t="shared" ca="1" si="154"/>
        <v>10.105332450250087</v>
      </c>
      <c r="D882" s="21">
        <f t="shared" ca="1" si="158"/>
        <v>10.105332450250087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11.513703009947221</v>
      </c>
      <c r="C883" s="20">
        <f t="shared" ca="1" si="154"/>
        <v>10.164753620068725</v>
      </c>
      <c r="D883" s="21">
        <f t="shared" ca="1" si="158"/>
        <v>10.164753620068725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11.660916372163367</v>
      </c>
      <c r="C884" s="20">
        <f t="shared" ca="1" si="154"/>
        <v>5.8421907732147789</v>
      </c>
      <c r="D884" s="21">
        <f t="shared" ca="1" si="158"/>
        <v>5.8421907732147789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10.91203931848872</v>
      </c>
      <c r="C885" s="20">
        <f t="shared" ca="1" si="154"/>
        <v>8.4291847391522783</v>
      </c>
      <c r="D885" s="21">
        <f t="shared" ca="1" si="158"/>
        <v>8.4291847391522783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10.045707013125003</v>
      </c>
      <c r="C886" s="20">
        <f t="shared" ca="1" si="154"/>
        <v>6.6937982625494659</v>
      </c>
      <c r="D886" s="21">
        <f t="shared" ca="1" si="158"/>
        <v>6.6937982625494659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8.2290091082743189</v>
      </c>
      <c r="C887" s="20">
        <f t="shared" ca="1" si="154"/>
        <v>9.6080268497489474</v>
      </c>
      <c r="D887" s="21">
        <f t="shared" ca="1" si="158"/>
        <v>9.6080268497489474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13.514109314328362</v>
      </c>
      <c r="C888" s="20">
        <f t="shared" ca="1" si="154"/>
        <v>11.369370558662171</v>
      </c>
      <c r="D888" s="21">
        <f t="shared" ca="1" si="158"/>
        <v>11.369370558662171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9.2375090199702079</v>
      </c>
      <c r="C889" s="20">
        <f t="shared" ca="1" si="154"/>
        <v>7.1653487496063573</v>
      </c>
      <c r="D889" s="21">
        <f t="shared" ca="1" si="158"/>
        <v>7.1653487496063573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9.5356027419795968</v>
      </c>
      <c r="C890" s="20">
        <f t="shared" ca="1" si="154"/>
        <v>13.654676229917371</v>
      </c>
      <c r="D890" s="21">
        <f t="shared" ca="1" si="158"/>
        <v>13.654676229917371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7.5234765908006089</v>
      </c>
      <c r="C891" s="20">
        <f t="shared" ca="1" si="154"/>
        <v>9.4319735897196928</v>
      </c>
      <c r="D891" s="21">
        <f t="shared" ca="1" si="158"/>
        <v>9.4319735897196928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11.158260275994429</v>
      </c>
      <c r="C892" s="20">
        <f t="shared" ca="1" si="154"/>
        <v>8.7692083033082326</v>
      </c>
      <c r="D892" s="21">
        <f t="shared" ref="D892:G911" ca="1" si="161">IF(AND(ISNUMBER($D$1),$F$1&gt;0,ISNUMBER(D$11),D$11&lt;=$H$1),_xlfn.NORM.INV(RAND(),$D$1,SQRT($F$1)),"")</f>
        <v>8.7692083033082326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9.400978221606195</v>
      </c>
      <c r="C893" s="20">
        <f t="shared" ca="1" si="154"/>
        <v>14.036895048255481</v>
      </c>
      <c r="D893" s="21">
        <f t="shared" ca="1" si="161"/>
        <v>14.036895048255481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6.4696437842016987</v>
      </c>
      <c r="C894" s="20">
        <f t="shared" ca="1" si="154"/>
        <v>10.504860991180465</v>
      </c>
      <c r="D894" s="21">
        <f t="shared" ca="1" si="161"/>
        <v>10.504860991180465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9.9925791901987839</v>
      </c>
      <c r="C895" s="20">
        <f t="shared" ca="1" si="154"/>
        <v>13.527986500655413</v>
      </c>
      <c r="D895" s="21">
        <f t="shared" ca="1" si="161"/>
        <v>13.527986500655413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6.4713746341148148</v>
      </c>
      <c r="C896" s="20">
        <f t="shared" ca="1" si="154"/>
        <v>11.367801667590198</v>
      </c>
      <c r="D896" s="21">
        <f t="shared" ca="1" si="161"/>
        <v>11.367801667590198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9.5844958940423197</v>
      </c>
      <c r="C897" s="20">
        <f t="shared" ca="1" si="154"/>
        <v>10.863172341777757</v>
      </c>
      <c r="D897" s="21">
        <f t="shared" ca="1" si="161"/>
        <v>10.863172341777757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11.354758282235276</v>
      </c>
      <c r="C898" s="20">
        <f t="shared" ca="1" si="154"/>
        <v>9.4956001190806241</v>
      </c>
      <c r="D898" s="21">
        <f t="shared" ca="1" si="161"/>
        <v>9.4956001190806241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10.15477464527512</v>
      </c>
      <c r="C899" s="20">
        <f t="shared" ca="1" si="154"/>
        <v>8.2129236933790644</v>
      </c>
      <c r="D899" s="21">
        <f t="shared" ca="1" si="161"/>
        <v>8.2129236933790644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5.9521492693704117</v>
      </c>
      <c r="C900" s="20">
        <f t="shared" ca="1" si="154"/>
        <v>13.263468525644628</v>
      </c>
      <c r="D900" s="21">
        <f t="shared" ca="1" si="161"/>
        <v>13.263468525644628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9.8720770004357963</v>
      </c>
      <c r="C901" s="20">
        <f t="shared" ca="1" si="154"/>
        <v>8.1748261142714878</v>
      </c>
      <c r="D901" s="21">
        <f t="shared" ca="1" si="161"/>
        <v>8.1748261142714878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5.8312229631958035</v>
      </c>
      <c r="C902" s="20">
        <f t="shared" ca="1" si="154"/>
        <v>12.240874820259194</v>
      </c>
      <c r="D902" s="21">
        <f t="shared" ca="1" si="161"/>
        <v>12.240874820259194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11.984595825250558</v>
      </c>
      <c r="C903" s="20">
        <f t="shared" ca="1" si="154"/>
        <v>9.307510819403511</v>
      </c>
      <c r="D903" s="21">
        <f t="shared" ca="1" si="161"/>
        <v>9.307510819403511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10.999362398902479</v>
      </c>
      <c r="C904" s="20">
        <f t="shared" ca="1" si="154"/>
        <v>7.7156486177183297</v>
      </c>
      <c r="D904" s="21">
        <f t="shared" ca="1" si="161"/>
        <v>7.7156486177183297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12.373139440568208</v>
      </c>
      <c r="C905" s="20">
        <f t="shared" ca="1" si="154"/>
        <v>13.23726855487063</v>
      </c>
      <c r="D905" s="21">
        <f t="shared" ca="1" si="161"/>
        <v>13.23726855487063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12.34140976160586</v>
      </c>
      <c r="C906" s="20">
        <f t="shared" ca="1" si="154"/>
        <v>9.2094243052543732</v>
      </c>
      <c r="D906" s="21">
        <f t="shared" ca="1" si="161"/>
        <v>9.2094243052543732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8.642560257766025</v>
      </c>
      <c r="C907" s="20">
        <f t="shared" ca="1" si="154"/>
        <v>8.714616388313992</v>
      </c>
      <c r="D907" s="21">
        <f t="shared" ca="1" si="161"/>
        <v>8.714616388313992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7.3339366025992874</v>
      </c>
      <c r="C908" s="20">
        <f t="shared" ca="1" si="154"/>
        <v>7.8214193343996943</v>
      </c>
      <c r="D908" s="21">
        <f t="shared" ca="1" si="161"/>
        <v>7.8214193343996943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8.7843994419312423</v>
      </c>
      <c r="C909" s="20">
        <f t="shared" ref="C909:C972" ca="1" si="165">IF(AND($H$1&gt;=1,ISNUMBER(D909)),AVERAGE(D909:W909),"")</f>
        <v>12.409189512370521</v>
      </c>
      <c r="D909" s="21">
        <f t="shared" ca="1" si="161"/>
        <v>12.409189512370521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7.3285188826769563</v>
      </c>
      <c r="C910" s="20">
        <f t="shared" ca="1" si="165"/>
        <v>11.21294055298576</v>
      </c>
      <c r="D910" s="21">
        <f t="shared" ca="1" si="161"/>
        <v>11.21294055298576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13.13900610381295</v>
      </c>
      <c r="C911" s="20">
        <f t="shared" ca="1" si="165"/>
        <v>11.440033659351087</v>
      </c>
      <c r="D911" s="21">
        <f t="shared" ca="1" si="161"/>
        <v>11.440033659351087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12.674010658321066</v>
      </c>
      <c r="C912" s="20">
        <f t="shared" ca="1" si="165"/>
        <v>8.9559110011203291</v>
      </c>
      <c r="D912" s="21">
        <f t="shared" ref="D912:G931" ca="1" si="166">IF(AND(ISNUMBER($D$1),$F$1&gt;0,ISNUMBER(D$11),D$11&lt;=$H$1),_xlfn.NORM.INV(RAND(),$D$1,SQRT($F$1)),"")</f>
        <v>8.9559110011203291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8.7646119593874658</v>
      </c>
      <c r="C913" s="20">
        <f t="shared" ca="1" si="165"/>
        <v>10.109318558808491</v>
      </c>
      <c r="D913" s="21">
        <f t="shared" ca="1" si="166"/>
        <v>10.109318558808491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11.360202252012922</v>
      </c>
      <c r="C914" s="20">
        <f t="shared" ca="1" si="165"/>
        <v>7.5024938620896471</v>
      </c>
      <c r="D914" s="21">
        <f t="shared" ca="1" si="166"/>
        <v>7.5024938620896471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7.7555733136500304</v>
      </c>
      <c r="C915" s="20">
        <f t="shared" ca="1" si="165"/>
        <v>12.581935996628227</v>
      </c>
      <c r="D915" s="21">
        <f t="shared" ca="1" si="166"/>
        <v>12.581935996628227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12.254592378000927</v>
      </c>
      <c r="C916" s="20">
        <f t="shared" ca="1" si="165"/>
        <v>9.4204305420367156</v>
      </c>
      <c r="D916" s="21">
        <f t="shared" ca="1" si="166"/>
        <v>9.4204305420367156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9.6276129905229162</v>
      </c>
      <c r="C917" s="20">
        <f t="shared" ca="1" si="165"/>
        <v>13.06856710339221</v>
      </c>
      <c r="D917" s="21">
        <f t="shared" ca="1" si="166"/>
        <v>13.06856710339221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11.611198985217753</v>
      </c>
      <c r="C918" s="20">
        <f t="shared" ca="1" si="165"/>
        <v>7.7703530011419408</v>
      </c>
      <c r="D918" s="21">
        <f t="shared" ca="1" si="166"/>
        <v>7.7703530011419408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10.467613883527404</v>
      </c>
      <c r="C919" s="20">
        <f t="shared" ca="1" si="165"/>
        <v>6.9652236454546159</v>
      </c>
      <c r="D919" s="21">
        <f t="shared" ca="1" si="166"/>
        <v>6.9652236454546159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9.1430972348205088</v>
      </c>
      <c r="C920" s="20">
        <f t="shared" ca="1" si="165"/>
        <v>13.437221954920018</v>
      </c>
      <c r="D920" s="21">
        <f t="shared" ca="1" si="166"/>
        <v>13.437221954920018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11.322634222043815</v>
      </c>
      <c r="C921" s="20">
        <f t="shared" ca="1" si="165"/>
        <v>9.0486844053336632</v>
      </c>
      <c r="D921" s="21">
        <f t="shared" ca="1" si="166"/>
        <v>9.0486844053336632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11.549950363875343</v>
      </c>
      <c r="C922" s="20">
        <f t="shared" ca="1" si="165"/>
        <v>10.803825895067797</v>
      </c>
      <c r="D922" s="21">
        <f t="shared" ca="1" si="166"/>
        <v>10.803825895067797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6.6153327053899798</v>
      </c>
      <c r="C923" s="20">
        <f t="shared" ca="1" si="165"/>
        <v>11.906589800499047</v>
      </c>
      <c r="D923" s="21">
        <f t="shared" ca="1" si="166"/>
        <v>11.906589800499047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12.562147698857512</v>
      </c>
      <c r="C924" s="20">
        <f t="shared" ca="1" si="165"/>
        <v>10.032646500807578</v>
      </c>
      <c r="D924" s="21">
        <f t="shared" ca="1" si="166"/>
        <v>10.032646500807578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8.1821983552170501</v>
      </c>
      <c r="C925" s="20">
        <f t="shared" ca="1" si="165"/>
        <v>8.1500902006012712</v>
      </c>
      <c r="D925" s="21">
        <f t="shared" ca="1" si="166"/>
        <v>8.1500902006012712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13.104587944144795</v>
      </c>
      <c r="C926" s="20">
        <f t="shared" ca="1" si="165"/>
        <v>8.6093813742118783</v>
      </c>
      <c r="D926" s="21">
        <f t="shared" ca="1" si="166"/>
        <v>8.6093813742118783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10.063345296970352</v>
      </c>
      <c r="C927" s="20">
        <f t="shared" ca="1" si="165"/>
        <v>10.379065380702903</v>
      </c>
      <c r="D927" s="21">
        <f t="shared" ca="1" si="166"/>
        <v>10.379065380702903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10.684146584205598</v>
      </c>
      <c r="C928" s="20">
        <f t="shared" ca="1" si="165"/>
        <v>10.303863744720033</v>
      </c>
      <c r="D928" s="21">
        <f t="shared" ca="1" si="166"/>
        <v>10.303863744720033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9.8318111583469836</v>
      </c>
      <c r="C929" s="20">
        <f t="shared" ca="1" si="165"/>
        <v>6.816682065959867</v>
      </c>
      <c r="D929" s="21">
        <f t="shared" ca="1" si="166"/>
        <v>6.816682065959867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7.1323185766410599</v>
      </c>
      <c r="C930" s="20">
        <f t="shared" ca="1" si="165"/>
        <v>9.312291542131458</v>
      </c>
      <c r="D930" s="21">
        <f t="shared" ca="1" si="166"/>
        <v>9.312291542131458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12.079390729748397</v>
      </c>
      <c r="C931" s="20">
        <f t="shared" ca="1" si="165"/>
        <v>6.8781584029220859</v>
      </c>
      <c r="D931" s="21">
        <f t="shared" ca="1" si="166"/>
        <v>6.8781584029220859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9.9467008561516312</v>
      </c>
      <c r="C932" s="20">
        <f t="shared" ca="1" si="165"/>
        <v>11.953113697814073</v>
      </c>
      <c r="D932" s="21">
        <f t="shared" ref="D932:G951" ca="1" si="169">IF(AND(ISNUMBER($D$1),$F$1&gt;0,ISNUMBER(D$11),D$11&lt;=$H$1),_xlfn.NORM.INV(RAND(),$D$1,SQRT($F$1)),"")</f>
        <v>11.953113697814073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7.6781527888357193</v>
      </c>
      <c r="C933" s="20">
        <f t="shared" ca="1" si="165"/>
        <v>6.8113139683327457</v>
      </c>
      <c r="D933" s="21">
        <f t="shared" ca="1" si="169"/>
        <v>6.8113139683327457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15.191317822220345</v>
      </c>
      <c r="C934" s="20">
        <f t="shared" ca="1" si="165"/>
        <v>9.4212160145180821</v>
      </c>
      <c r="D934" s="21">
        <f t="shared" ca="1" si="169"/>
        <v>9.4212160145180821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8.3857054623886</v>
      </c>
      <c r="C935" s="20">
        <f t="shared" ca="1" si="165"/>
        <v>14.331221235672942</v>
      </c>
      <c r="D935" s="21">
        <f t="shared" ca="1" si="169"/>
        <v>14.331221235672942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10.941804017331291</v>
      </c>
      <c r="C936" s="20">
        <f t="shared" ca="1" si="165"/>
        <v>10.546650330059023</v>
      </c>
      <c r="D936" s="21">
        <f t="shared" ca="1" si="169"/>
        <v>10.546650330059023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11.656248810677347</v>
      </c>
      <c r="C937" s="20">
        <f t="shared" ca="1" si="165"/>
        <v>7.222200401043688</v>
      </c>
      <c r="D937" s="21">
        <f t="shared" ca="1" si="169"/>
        <v>7.222200401043688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8.1544295817602919</v>
      </c>
      <c r="C938" s="20">
        <f t="shared" ca="1" si="165"/>
        <v>11.34867853274775</v>
      </c>
      <c r="D938" s="21">
        <f t="shared" ca="1" si="169"/>
        <v>11.34867853274775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8.5786049037690315</v>
      </c>
      <c r="C939" s="20">
        <f t="shared" ca="1" si="165"/>
        <v>10.136060645318437</v>
      </c>
      <c r="D939" s="21">
        <f t="shared" ca="1" si="169"/>
        <v>10.136060645318437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7.6518310279491715</v>
      </c>
      <c r="C940" s="20">
        <f t="shared" ca="1" si="165"/>
        <v>8.2141157853993025</v>
      </c>
      <c r="D940" s="21">
        <f t="shared" ca="1" si="169"/>
        <v>8.2141157853993025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8.8333495390234091</v>
      </c>
      <c r="C941" s="20">
        <f t="shared" ca="1" si="165"/>
        <v>14.1040968565411</v>
      </c>
      <c r="D941" s="21">
        <f t="shared" ca="1" si="169"/>
        <v>14.1040968565411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13.612360741137175</v>
      </c>
      <c r="C942" s="20">
        <f t="shared" ca="1" si="165"/>
        <v>6.625756303142353</v>
      </c>
      <c r="D942" s="21">
        <f t="shared" ca="1" si="169"/>
        <v>6.625756303142353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10.777778875210526</v>
      </c>
      <c r="C943" s="20">
        <f t="shared" ca="1" si="165"/>
        <v>10.796949919439028</v>
      </c>
      <c r="D943" s="21">
        <f t="shared" ca="1" si="169"/>
        <v>10.796949919439028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10.266236965320081</v>
      </c>
      <c r="C944" s="20">
        <f t="shared" ca="1" si="165"/>
        <v>7.9560085577981301</v>
      </c>
      <c r="D944" s="21">
        <f t="shared" ca="1" si="169"/>
        <v>7.9560085577981301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10.749845217494714</v>
      </c>
      <c r="C945" s="20">
        <f t="shared" ca="1" si="165"/>
        <v>9.1579072957968766</v>
      </c>
      <c r="D945" s="21">
        <f t="shared" ca="1" si="169"/>
        <v>9.1579072957968766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10.130160464411581</v>
      </c>
      <c r="C946" s="20">
        <f t="shared" ca="1" si="165"/>
        <v>11.058807688472848</v>
      </c>
      <c r="D946" s="21">
        <f t="shared" ca="1" si="169"/>
        <v>11.058807688472848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9.5988523683296254</v>
      </c>
      <c r="C947" s="20">
        <f t="shared" ca="1" si="165"/>
        <v>11.366901991864182</v>
      </c>
      <c r="D947" s="21">
        <f t="shared" ca="1" si="169"/>
        <v>11.366901991864182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6.8439362812530717</v>
      </c>
      <c r="C948" s="20">
        <f t="shared" ca="1" si="165"/>
        <v>8.2662438525649282</v>
      </c>
      <c r="D948" s="21">
        <f t="shared" ca="1" si="169"/>
        <v>8.2662438525649282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7.525704588446553</v>
      </c>
      <c r="C949" s="20">
        <f t="shared" ca="1" si="165"/>
        <v>9.5174881048488569</v>
      </c>
      <c r="D949" s="21">
        <f t="shared" ca="1" si="169"/>
        <v>9.5174881048488569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8.6744205213970123</v>
      </c>
      <c r="C950" s="20">
        <f t="shared" ca="1" si="165"/>
        <v>10.809589358894133</v>
      </c>
      <c r="D950" s="21">
        <f t="shared" ca="1" si="169"/>
        <v>10.809589358894133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8.8990959946349761</v>
      </c>
      <c r="C951" s="20">
        <f t="shared" ca="1" si="165"/>
        <v>11.788462852673431</v>
      </c>
      <c r="D951" s="21">
        <f t="shared" ca="1" si="169"/>
        <v>11.788462852673431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11.557123858768371</v>
      </c>
      <c r="C952" s="20">
        <f t="shared" ca="1" si="165"/>
        <v>8.5750648082425478</v>
      </c>
      <c r="D952" s="21">
        <f t="shared" ref="D952:G971" ca="1" si="172">IF(AND(ISNUMBER($D$1),$F$1&gt;0,ISNUMBER(D$11),D$11&lt;=$H$1),_xlfn.NORM.INV(RAND(),$D$1,SQRT($F$1)),"")</f>
        <v>8.5750648082425478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11.863451704949336</v>
      </c>
      <c r="C953" s="20">
        <f t="shared" ca="1" si="165"/>
        <v>11.212563940049183</v>
      </c>
      <c r="D953" s="21">
        <f t="shared" ca="1" si="172"/>
        <v>11.212563940049183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12.809166520727082</v>
      </c>
      <c r="C954" s="20">
        <f t="shared" ca="1" si="165"/>
        <v>12.301920214124731</v>
      </c>
      <c r="D954" s="21">
        <f t="shared" ca="1" si="172"/>
        <v>12.301920214124731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8.7802129663199402</v>
      </c>
      <c r="C955" s="20">
        <f t="shared" ca="1" si="165"/>
        <v>9.5691600509520462</v>
      </c>
      <c r="D955" s="21">
        <f t="shared" ca="1" si="172"/>
        <v>9.5691600509520462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10.754899067650872</v>
      </c>
      <c r="C956" s="20">
        <f t="shared" ca="1" si="165"/>
        <v>5.5116649243900371</v>
      </c>
      <c r="D956" s="21">
        <f t="shared" ca="1" si="172"/>
        <v>5.5116649243900371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9.4929170935459499</v>
      </c>
      <c r="C957" s="20">
        <f t="shared" ca="1" si="165"/>
        <v>12.933513908018273</v>
      </c>
      <c r="D957" s="21">
        <f t="shared" ca="1" si="172"/>
        <v>12.933513908018273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10.458246532425578</v>
      </c>
      <c r="C958" s="20">
        <f t="shared" ca="1" si="165"/>
        <v>11.339339481365482</v>
      </c>
      <c r="D958" s="21">
        <f t="shared" ca="1" si="172"/>
        <v>11.339339481365482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12.651452263313278</v>
      </c>
      <c r="C959" s="20">
        <f t="shared" ca="1" si="165"/>
        <v>8.0361754156757943</v>
      </c>
      <c r="D959" s="21">
        <f t="shared" ca="1" si="172"/>
        <v>8.0361754156757943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9.0619484258870244</v>
      </c>
      <c r="C960" s="20">
        <f t="shared" ca="1" si="165"/>
        <v>10.317824717919853</v>
      </c>
      <c r="D960" s="21">
        <f t="shared" ca="1" si="172"/>
        <v>10.317824717919853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9.5577867655751323</v>
      </c>
      <c r="C961" s="20">
        <f t="shared" ca="1" si="165"/>
        <v>7.7507404753892111</v>
      </c>
      <c r="D961" s="21">
        <f t="shared" ca="1" si="172"/>
        <v>7.7507404753892111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8.4576387355178149</v>
      </c>
      <c r="C962" s="20">
        <f t="shared" ca="1" si="165"/>
        <v>9.4064229668123058</v>
      </c>
      <c r="D962" s="21">
        <f t="shared" ca="1" si="172"/>
        <v>9.4064229668123058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8.5296071874724131</v>
      </c>
      <c r="C963" s="20">
        <f t="shared" ca="1" si="165"/>
        <v>10.527773820728791</v>
      </c>
      <c r="D963" s="21">
        <f t="shared" ca="1" si="172"/>
        <v>10.527773820728791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7.7706533990952718</v>
      </c>
      <c r="C964" s="20">
        <f t="shared" ca="1" si="165"/>
        <v>6.5993875346108712</v>
      </c>
      <c r="D964" s="21">
        <f t="shared" ca="1" si="172"/>
        <v>6.5993875346108712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10.419744573538759</v>
      </c>
      <c r="C965" s="20">
        <f t="shared" ca="1" si="165"/>
        <v>11.43388003810799</v>
      </c>
      <c r="D965" s="21">
        <f t="shared" ca="1" si="172"/>
        <v>11.43388003810799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8.4176717766153342</v>
      </c>
      <c r="C966" s="20">
        <f t="shared" ca="1" si="165"/>
        <v>9.2740947270024403</v>
      </c>
      <c r="D966" s="21">
        <f t="shared" ca="1" si="172"/>
        <v>9.2740947270024403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15.049726308764228</v>
      </c>
      <c r="C967" s="20">
        <f t="shared" ca="1" si="165"/>
        <v>6.8735102826757188</v>
      </c>
      <c r="D967" s="21">
        <f t="shared" ca="1" si="172"/>
        <v>6.8735102826757188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11.8430976136315</v>
      </c>
      <c r="C968" s="20">
        <f t="shared" ca="1" si="165"/>
        <v>11.388077458402535</v>
      </c>
      <c r="D968" s="21">
        <f t="shared" ca="1" si="172"/>
        <v>11.388077458402535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11.222663392398955</v>
      </c>
      <c r="C969" s="20">
        <f t="shared" ca="1" si="165"/>
        <v>8.3661995076397986</v>
      </c>
      <c r="D969" s="21">
        <f t="shared" ca="1" si="172"/>
        <v>8.3661995076397986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8.4047000284909839</v>
      </c>
      <c r="C970" s="20">
        <f t="shared" ca="1" si="165"/>
        <v>8.6920164104074171</v>
      </c>
      <c r="D970" s="21">
        <f t="shared" ca="1" si="172"/>
        <v>8.6920164104074171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11.366319122417075</v>
      </c>
      <c r="C971" s="20">
        <f t="shared" ca="1" si="165"/>
        <v>12.118120987017885</v>
      </c>
      <c r="D971" s="21">
        <f t="shared" ca="1" si="172"/>
        <v>12.118120987017885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9.4368733459592828</v>
      </c>
      <c r="C972" s="20">
        <f t="shared" ca="1" si="165"/>
        <v>8.7834303656506716</v>
      </c>
      <c r="D972" s="21">
        <f t="shared" ref="D972:G991" ca="1" si="175">IF(AND(ISNUMBER($D$1),$F$1&gt;0,ISNUMBER(D$11),D$11&lt;=$H$1),_xlfn.NORM.INV(RAND(),$D$1,SQRT($F$1)),"")</f>
        <v>8.7834303656506716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7.3150000623189619</v>
      </c>
      <c r="C973" s="20">
        <f t="shared" ref="C973:C1011" ca="1" si="178">IF(AND($H$1&gt;=1,ISNUMBER(D973)),AVERAGE(D973:W973),"")</f>
        <v>10.809406161774444</v>
      </c>
      <c r="D973" s="21">
        <f t="shared" ca="1" si="175"/>
        <v>10.809406161774444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11.845072018206162</v>
      </c>
      <c r="C974" s="20">
        <f t="shared" ca="1" si="178"/>
        <v>10.610907501926778</v>
      </c>
      <c r="D974" s="21">
        <f t="shared" ca="1" si="175"/>
        <v>10.610907501926778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8.6312684856924307</v>
      </c>
      <c r="C975" s="20">
        <f t="shared" ca="1" si="178"/>
        <v>11.943484255803396</v>
      </c>
      <c r="D975" s="21">
        <f t="shared" ca="1" si="175"/>
        <v>11.943484255803396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8.0610991041064821</v>
      </c>
      <c r="C976" s="20">
        <f t="shared" ca="1" si="178"/>
        <v>11.062097760796142</v>
      </c>
      <c r="D976" s="21">
        <f t="shared" ca="1" si="175"/>
        <v>11.062097760796142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10.392301753140657</v>
      </c>
      <c r="C977" s="20">
        <f t="shared" ca="1" si="178"/>
        <v>9.9291584809887823</v>
      </c>
      <c r="D977" s="21">
        <f t="shared" ca="1" si="175"/>
        <v>9.9291584809887823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10.49529163281434</v>
      </c>
      <c r="C978" s="20">
        <f t="shared" ca="1" si="178"/>
        <v>9.916415249506457</v>
      </c>
      <c r="D978" s="21">
        <f t="shared" ca="1" si="175"/>
        <v>9.916415249506457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13.95596197750093</v>
      </c>
      <c r="C979" s="20">
        <f t="shared" ca="1" si="178"/>
        <v>9.6124287895585372</v>
      </c>
      <c r="D979" s="21">
        <f t="shared" ca="1" si="175"/>
        <v>9.6124287895585372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9.7783276512002377</v>
      </c>
      <c r="C980" s="20">
        <f t="shared" ca="1" si="178"/>
        <v>12.516597262034498</v>
      </c>
      <c r="D980" s="21">
        <f t="shared" ca="1" si="175"/>
        <v>12.516597262034498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9.3275958810732273</v>
      </c>
      <c r="C981" s="20">
        <f t="shared" ca="1" si="178"/>
        <v>8.9329631394953566</v>
      </c>
      <c r="D981" s="21">
        <f t="shared" ca="1" si="175"/>
        <v>8.9329631394953566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10.075254403585326</v>
      </c>
      <c r="C982" s="20">
        <f t="shared" ca="1" si="178"/>
        <v>11.90979519060793</v>
      </c>
      <c r="D982" s="21">
        <f t="shared" ca="1" si="175"/>
        <v>11.90979519060793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9.8535130826375195</v>
      </c>
      <c r="C983" s="20">
        <f t="shared" ca="1" si="178"/>
        <v>11.942196272846884</v>
      </c>
      <c r="D983" s="21">
        <f t="shared" ca="1" si="175"/>
        <v>11.942196272846884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8.7979995859376672</v>
      </c>
      <c r="C984" s="20">
        <f t="shared" ca="1" si="178"/>
        <v>5.4725100729664762</v>
      </c>
      <c r="D984" s="21">
        <f t="shared" ca="1" si="175"/>
        <v>5.4725100729664762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12.64318699337384</v>
      </c>
      <c r="C985" s="20">
        <f t="shared" ca="1" si="178"/>
        <v>8.1839227213263435</v>
      </c>
      <c r="D985" s="21">
        <f t="shared" ca="1" si="175"/>
        <v>8.1839227213263435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8.541675934291467</v>
      </c>
      <c r="C986" s="20">
        <f t="shared" ca="1" si="178"/>
        <v>11.84983424277306</v>
      </c>
      <c r="D986" s="21">
        <f t="shared" ca="1" si="175"/>
        <v>11.84983424277306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10.376952308090743</v>
      </c>
      <c r="C987" s="20">
        <f t="shared" ca="1" si="178"/>
        <v>12.556470846939398</v>
      </c>
      <c r="D987" s="21">
        <f t="shared" ca="1" si="175"/>
        <v>12.556470846939398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8.1915837004613152</v>
      </c>
      <c r="C988" s="20">
        <f t="shared" ca="1" si="178"/>
        <v>10.71778884946815</v>
      </c>
      <c r="D988" s="21">
        <f t="shared" ca="1" si="175"/>
        <v>10.71778884946815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9.8376554406767394</v>
      </c>
      <c r="C989" s="20">
        <f t="shared" ca="1" si="178"/>
        <v>10.563034219238714</v>
      </c>
      <c r="D989" s="21">
        <f t="shared" ca="1" si="175"/>
        <v>10.563034219238714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12.01422661056176</v>
      </c>
      <c r="C990" s="20">
        <f t="shared" ca="1" si="178"/>
        <v>9.7622358164999898</v>
      </c>
      <c r="D990" s="21">
        <f t="shared" ca="1" si="175"/>
        <v>9.7622358164999898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11.699785908723266</v>
      </c>
      <c r="C991" s="20">
        <f t="shared" ca="1" si="178"/>
        <v>8.3726761136739647</v>
      </c>
      <c r="D991" s="21">
        <f t="shared" ca="1" si="175"/>
        <v>8.3726761136739647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12.817994028895974</v>
      </c>
      <c r="C992" s="20">
        <f t="shared" ca="1" si="178"/>
        <v>7.1253255510551803</v>
      </c>
      <c r="D992" s="21">
        <f t="shared" ref="D992:G1011" ca="1" si="180">IF(AND(ISNUMBER($D$1),$F$1&gt;0,ISNUMBER(D$11),D$11&lt;=$H$1),_xlfn.NORM.INV(RAND(),$D$1,SQRT($F$1)),"")</f>
        <v>7.1253255510551803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7.929657585342019</v>
      </c>
      <c r="C993" s="20">
        <f t="shared" ca="1" si="178"/>
        <v>7.193386301893975</v>
      </c>
      <c r="D993" s="21">
        <f t="shared" ca="1" si="180"/>
        <v>7.193386301893975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9.9019310246075332</v>
      </c>
      <c r="C994" s="20">
        <f t="shared" ca="1" si="178"/>
        <v>10.963194824534456</v>
      </c>
      <c r="D994" s="21">
        <f t="shared" ca="1" si="180"/>
        <v>10.963194824534456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5.9641878582149275</v>
      </c>
      <c r="C995" s="20">
        <f t="shared" ca="1" si="178"/>
        <v>10.213609067778986</v>
      </c>
      <c r="D995" s="21">
        <f t="shared" ca="1" si="180"/>
        <v>10.213609067778986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10.135065761080588</v>
      </c>
      <c r="C996" s="20">
        <f t="shared" ca="1" si="178"/>
        <v>9.9835040594106079</v>
      </c>
      <c r="D996" s="21">
        <f t="shared" ca="1" si="180"/>
        <v>9.9835040594106079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8.7834825640552463</v>
      </c>
      <c r="C997" s="20">
        <f t="shared" ca="1" si="178"/>
        <v>10.906523656277313</v>
      </c>
      <c r="D997" s="21">
        <f t="shared" ca="1" si="180"/>
        <v>10.906523656277313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6.7171366369687178</v>
      </c>
      <c r="C998" s="20">
        <f t="shared" ca="1" si="178"/>
        <v>9.3757608087069748</v>
      </c>
      <c r="D998" s="21">
        <f t="shared" ca="1" si="180"/>
        <v>9.3757608087069748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13.029145884998336</v>
      </c>
      <c r="C999" s="20">
        <f t="shared" ca="1" si="178"/>
        <v>9.583091921753244</v>
      </c>
      <c r="D999" s="21">
        <f t="shared" ca="1" si="180"/>
        <v>9.583091921753244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5.6023386047190709</v>
      </c>
      <c r="C1000" s="20">
        <f t="shared" ca="1" si="178"/>
        <v>5.4766251164376385</v>
      </c>
      <c r="D1000" s="21">
        <f t="shared" ca="1" si="180"/>
        <v>5.4766251164376385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12.08953670688906</v>
      </c>
      <c r="C1001" s="20">
        <f t="shared" ca="1" si="178"/>
        <v>10.845941372836394</v>
      </c>
      <c r="D1001" s="21">
        <f t="shared" ca="1" si="180"/>
        <v>10.845941372836394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9.846793258154344</v>
      </c>
      <c r="C1002" s="20">
        <f t="shared" ca="1" si="178"/>
        <v>8.9279470585567342</v>
      </c>
      <c r="D1002" s="21">
        <f t="shared" ca="1" si="180"/>
        <v>8.9279470585567342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7.9002617710131524</v>
      </c>
      <c r="C1003" s="20">
        <f t="shared" ca="1" si="178"/>
        <v>10.533632484329157</v>
      </c>
      <c r="D1003" s="21">
        <f t="shared" ca="1" si="180"/>
        <v>10.533632484329157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8.4816191758262836</v>
      </c>
      <c r="C1004" s="20">
        <f t="shared" ca="1" si="178"/>
        <v>13.716983236468591</v>
      </c>
      <c r="D1004" s="21">
        <f t="shared" ca="1" si="180"/>
        <v>13.716983236468591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4.3929400600783168</v>
      </c>
      <c r="C1005" s="20">
        <f t="shared" ca="1" si="178"/>
        <v>13.066947005326391</v>
      </c>
      <c r="D1005" s="21">
        <f t="shared" ca="1" si="180"/>
        <v>13.066947005326391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8.664618303233155</v>
      </c>
      <c r="C1006" s="20">
        <f t="shared" ca="1" si="178"/>
        <v>9.0056594821098592</v>
      </c>
      <c r="D1006" s="21">
        <f t="shared" ca="1" si="180"/>
        <v>9.0056594821098592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7.6838147697791506</v>
      </c>
      <c r="C1007" s="20">
        <f t="shared" ca="1" si="178"/>
        <v>11.070027673384766</v>
      </c>
      <c r="D1007" s="21">
        <f t="shared" ca="1" si="180"/>
        <v>11.070027673384766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7.5486262576500751</v>
      </c>
      <c r="C1008" s="20">
        <f t="shared" ca="1" si="178"/>
        <v>8.1930440849757957</v>
      </c>
      <c r="D1008" s="21">
        <f t="shared" ca="1" si="180"/>
        <v>8.1930440849757957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10.228928803155274</v>
      </c>
      <c r="C1009" s="20">
        <f t="shared" ca="1" si="178"/>
        <v>10.429902284882546</v>
      </c>
      <c r="D1009" s="21">
        <f t="shared" ca="1" si="180"/>
        <v>10.429902284882546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7.9495108770197813</v>
      </c>
      <c r="C1010" s="20">
        <f t="shared" ca="1" si="178"/>
        <v>9.6379564183716546</v>
      </c>
      <c r="D1010" s="21">
        <f t="shared" ca="1" si="180"/>
        <v>9.6379564183716546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11.762242764321519</v>
      </c>
      <c r="C1011" s="20">
        <f t="shared" ca="1" si="178"/>
        <v>8.1299969872196467</v>
      </c>
      <c r="D1011" s="21">
        <f t="shared" ca="1" si="180"/>
        <v>8.1299969872196467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Props1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2025-05-11T16:42:19Z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