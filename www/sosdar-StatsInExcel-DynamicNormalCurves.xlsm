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CA24FA32-5E46-487E-BFA5-7C1A627F9043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<sst xmlns="http://schemas.openxmlformats.org/spreadsheetml/2006/main" count="53" uniqueCount="45">
  <si>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</si>
  <si>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</si>
  <si>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</si>
  <si>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</si>
  <si>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</si>
  <si>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</si>
  <si>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</si>
  <si>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</si>
  <si>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</si>
  <si>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</si>
  <si>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</si>
  <si>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</si>
  <si>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</si>
  <si>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</si>
  <si>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</si>
  <si>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</si>
  <si>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</si>
  <si>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</si>
  <si>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</si>
  <si>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</si>
  <si>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</si>
  <si>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</si>
  <si>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</si>
  <si>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</si>
  <si>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</si>
  <si>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</si>
  <si>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</si>
  <si>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</si>
  <si>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</si>
  <si>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</si>
  <si>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</si>
  <si>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</si>
  <si>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</si>
  <si>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</si>
  <si>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</si>
  <si>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</si>
  <si>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</si>
  <si>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</si>
  <si>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</si>
  <si>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</si>
  <si>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</si>
  <si>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</si>
  <si>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</si>
  <si>
    <t>https://youtu.be/o6-8Fpar9os</t>
  </si>
  <si>
    <t>ptnc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</si>
</sst>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5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0" fillId="3" borderId="0" xfId="2" applyFont="1" applyFill="1"/>
    <xf numFmtId="0" fontId="32" fillId="4" borderId="1" xfId="0" applyFont="1" applyFill="1" applyBorder="1" applyProtection="1">
      <protection locked="0"/>
    </xf>
    <xf numFmtId="0" fontId="33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0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34" fillId="3" borderId="0" xfId="5" applyFill="1" applyProtection="1">
      <protection locked="0"/>
    </xf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1" fillId="5" borderId="18" xfId="2" applyFont="1" applyFill="1" applyBorder="1" applyAlignment="1">
      <alignment horizontal="center"/>
    </xf>
    <xf numFmtId="0" fontId="31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youtu.be/o6-8Fpar9os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o6-8Fpar9os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33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34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/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71" t="s">
        <v>42</v>
      </c>
    </row>
    <row r="4" spans="5:5" ht="13.8" x14ac:dyDescent="0.25">
      <c r="E4" s="71" t="s">
        <v>43</v>
      </c>
    </row>
    <row r="1970" spans="5:5" x14ac:dyDescent="0.25">
      <c r="E1970" s="37" t="s">
        <v>44</v>
      </c>
    </row>
  </sheetData>
  <sheetProtection algorithmName="SHA-512" hashValue="pQlGBLCz7IBSFQZZcU8jlDNGa4AiHdlervW5+p9ovf14S2p9MeeUr+RIJW/Dfh/+GlH/YWV5D4FnijFXkR6XQw==" saltValue="pFhidC9EckAedBGJB6tvEw==" spinCount="100000" sheet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8">
        <v>10</v>
      </c>
    </row>
    <row r="2" spans="1:6" x14ac:dyDescent="0.25">
      <c r="A2" s="1" t="s">
        <v>10</v>
      </c>
      <c r="B2" s="59">
        <v>4</v>
      </c>
    </row>
    <row r="3" spans="1:6" x14ac:dyDescent="0.25">
      <c r="A3" s="1" t="s">
        <v>7</v>
      </c>
      <c r="B3" s="55">
        <v>0</v>
      </c>
    </row>
    <row r="6" spans="1:6" x14ac:dyDescent="0.25">
      <c r="A6" s="1" t="s">
        <v>41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4">
        <f>B2/B6</f>
        <v>4</v>
      </c>
      <c r="C8" s="53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2" t="s">
        <v>11</v>
      </c>
      <c r="B12" s="72"/>
    </row>
    <row r="13" spans="1:6" x14ac:dyDescent="0.25">
      <c r="A13" s="72"/>
      <c r="B13" s="72"/>
    </row>
    <row r="14" spans="1:6" x14ac:dyDescent="0.25">
      <c r="A14" s="72"/>
      <c r="B14" s="72"/>
    </row>
    <row r="15" spans="1:6" x14ac:dyDescent="0.25">
      <c r="A15" s="72"/>
      <c r="B15" s="72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2">
        <f>NormalCurves!B7</f>
        <v>10</v>
      </c>
      <c r="E1" s="9" t="s">
        <v>16</v>
      </c>
      <c r="F1" s="61">
        <f>NormalCurves!B2</f>
        <v>4</v>
      </c>
      <c r="G1" s="9" t="s">
        <v>17</v>
      </c>
      <c r="H1" s="60">
        <f>NormalCurves!C6</f>
        <v>1</v>
      </c>
      <c r="I1" s="10" t="s">
        <v>15</v>
      </c>
      <c r="J1" s="75" t="s">
        <v>38</v>
      </c>
      <c r="K1" s="75"/>
      <c r="L1" s="75"/>
      <c r="M1" s="75"/>
      <c r="N1" s="75"/>
      <c r="O1" s="75"/>
      <c r="P1" s="75"/>
      <c r="Q1" s="75"/>
      <c r="R1" s="75"/>
      <c r="S1" s="75"/>
    </row>
    <row r="2" spans="1:23" ht="28.2" thickBot="1" x14ac:dyDescent="0.3">
      <c r="A2" s="63" t="s">
        <v>37</v>
      </c>
      <c r="B2" s="64" t="s">
        <v>14</v>
      </c>
      <c r="C2" s="65" t="s">
        <v>21</v>
      </c>
      <c r="D2" s="66">
        <f>IF(ISNUMBER(D1),D1,"")</f>
        <v>10</v>
      </c>
      <c r="E2" s="65" t="s">
        <v>22</v>
      </c>
      <c r="F2" s="67">
        <f>IF(AND(F1&gt;0,H1&gt;=1),F1/H1,"")</f>
        <v>4</v>
      </c>
      <c r="G2" s="76" t="s">
        <v>30</v>
      </c>
      <c r="H2" s="77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2" t="s">
        <v>40</v>
      </c>
      <c r="F4" s="83"/>
      <c r="G4" s="83"/>
      <c r="H4" s="83"/>
      <c r="I4" s="83"/>
      <c r="J4" s="84"/>
    </row>
    <row r="5" spans="1:23" ht="14.4" x14ac:dyDescent="0.3">
      <c r="E5" s="14" t="s">
        <v>25</v>
      </c>
      <c r="F5" s="15" t="s">
        <v>26</v>
      </c>
      <c r="G5" s="78" t="s">
        <v>19</v>
      </c>
      <c r="H5" s="79"/>
      <c r="I5" s="80" t="s">
        <v>37</v>
      </c>
      <c r="J5" s="81"/>
    </row>
    <row r="6" spans="1:23" ht="14.4" x14ac:dyDescent="0.3">
      <c r="A6" s="56" t="s">
        <v>23</v>
      </c>
      <c r="B6" s="22">
        <f ca="1">IF(ISNUMBER(B12),AVERAGE(B12:B1011),"")</f>
        <v>9.9877039414640549</v>
      </c>
      <c r="C6" s="23">
        <f ca="1">IF(ISNUMBER(C12),AVERAGE(C12:C1011),"")</f>
        <v>9.9517937131280423</v>
      </c>
      <c r="E6" s="16">
        <v>1</v>
      </c>
      <c r="F6" s="17" t="s">
        <v>29</v>
      </c>
      <c r="G6" s="73">
        <f ca="1">IF(ISNUMBER(B12),COUNTIFS($B$12:$B$1011,"&gt;="&amp;$D$1-$E6*SQRT($F$1),$B$12:$B$1011,"&lt;="&amp;$D$1+$E6*SQRT($F$1))/COUNT($B$12:$B$1011),"")</f>
        <v>0.68700000000000006</v>
      </c>
      <c r="H6" s="74"/>
      <c r="I6" s="73">
        <f ca="1">IF(ISNUMBER(C12),COUNTIFS($C$12:$C$1011,"&gt;="&amp;$D$2-$E6*SQRT($F$2),$C$12:$C$1011,"&lt;="&amp;$D$2+$E6*SQRT($F$2))/COUNT($C$12:$C$1011),"")</f>
        <v>0.65200000000000002</v>
      </c>
      <c r="J6" s="74"/>
    </row>
    <row r="7" spans="1:23" ht="14.4" x14ac:dyDescent="0.3">
      <c r="A7" s="56" t="s">
        <v>24</v>
      </c>
      <c r="B7" s="24">
        <f ca="1">IF(ISNUMBER(B12),_xlfn.VAR.S(B12:B1011),"")</f>
        <v>4.0116682392860552</v>
      </c>
      <c r="C7" s="25">
        <f ca="1">IF(ISNUMBER(C12),_xlfn.VAR.S(C12:C1011),"")</f>
        <v>4.1877857416594244</v>
      </c>
      <c r="E7" s="16">
        <v>2</v>
      </c>
      <c r="F7" s="17" t="s">
        <v>27</v>
      </c>
      <c r="G7" s="73">
        <f ca="1">IF(ISNUMBER(B13),COUNTIFS($B$12:$B$1011,"&gt;="&amp;$D$1-$E7*SQRT($F$1),$B$12:$B$1011,"&lt;="&amp;$D$1+$E7*SQRT($F$1))/COUNT($B$12:$B$1011),"")</f>
        <v>0.95199999999999996</v>
      </c>
      <c r="H7" s="74"/>
      <c r="I7" s="73">
        <f ca="1">IF(ISNUMBER(C13),COUNTIFS($C$12:$C$1011,"&gt;="&amp;$D$2-$E7*SQRT($F$2),$C$12:$C$1011,"&lt;="&amp;$D$2+$E7*SQRT($F$2))/COUNT($C$12:$C$1011),"")</f>
        <v>0.95099999999999996</v>
      </c>
      <c r="J7" s="74"/>
    </row>
    <row r="8" spans="1:23" ht="14.4" x14ac:dyDescent="0.3">
      <c r="A8" s="56"/>
      <c r="E8" s="16">
        <v>3</v>
      </c>
      <c r="F8" s="17" t="s">
        <v>28</v>
      </c>
      <c r="G8" s="73">
        <f ca="1">IF(ISNUMBER(B14),COUNTIFS($B$12:$B$1011,"&gt;="&amp;$D$1-$E8*SQRT($F$1),$B$12:$B$1011,"&lt;="&amp;$D$1+$E8*SQRT($F$1))/COUNT($B$12:$B$1011),"")</f>
        <v>0.99399999999999999</v>
      </c>
      <c r="H8" s="74"/>
      <c r="I8" s="73">
        <f ca="1">IF(ISNUMBER(C14),COUNTIFS($C$12:$C$1011,"&gt;="&amp;$D$2-$E8*SQRT($F$2),$C$12:$C$1011,"&lt;="&amp;$D$2+$E8*SQRT($F$2))/COUNT($C$12:$C$1011),"")</f>
        <v>0.998</v>
      </c>
      <c r="J8" s="74"/>
      <c r="K8" s="27"/>
      <c r="L8" s="28"/>
      <c r="M8" s="28"/>
      <c r="N8" s="29"/>
    </row>
    <row r="9" spans="1:23" ht="14.4" x14ac:dyDescent="0.3">
      <c r="A9" s="56" t="s">
        <v>35</v>
      </c>
      <c r="B9" s="32">
        <f ca="1">IF(ISNUMBER(B12),MIN(B12:B1011),"")</f>
        <v>2.1228321124826763</v>
      </c>
      <c r="C9" s="20">
        <f ca="1">IF(ISNUMBER(B12),MIN(C12:C1011),"")</f>
        <v>3.8339290322343524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6" t="s">
        <v>36</v>
      </c>
      <c r="B10" s="19">
        <f ca="1">IF(ISNUMBER(B12),MAX(B12:B1011),"")</f>
        <v>16.76017723328086</v>
      </c>
      <c r="C10" s="33">
        <f ca="1">IF(ISNUMBER(B12),MAX(C12:C1011),"")</f>
        <v>16.060726207929989</v>
      </c>
      <c r="D10" s="57" t="s">
        <v>20</v>
      </c>
    </row>
    <row r="11" spans="1:23" ht="27.6" x14ac:dyDescent="0.25">
      <c r="A11" s="68" t="s">
        <v>39</v>
      </c>
      <c r="B11" s="69" t="s">
        <v>19</v>
      </c>
      <c r="C11" s="63" t="s">
        <v>37</v>
      </c>
      <c r="D11" s="70">
        <f>IF(AND(ISNUMBER(D1),F1&gt;0),1,"")</f>
        <v>1</v>
      </c>
      <c r="E11" s="70" t="str">
        <f>IF(D11&lt;$H$1,D11+1,"")</f>
        <v/>
      </c>
      <c r="F11" s="70" t="str">
        <f>IF(E11&lt;$H$1,E11+1,"")</f>
        <v/>
      </c>
      <c r="G11" s="70" t="str">
        <f>IF(F11&lt;$H$1,F11+1,"")</f>
        <v/>
      </c>
      <c r="H11" s="70" t="str">
        <f>IF(G11&lt;$H$1,G11+1,"")</f>
        <v/>
      </c>
      <c r="I11" s="70" t="str">
        <f t="shared" ref="I11:W11" si="0">IF(H11&lt;$H$1,H11+1,"")</f>
        <v/>
      </c>
      <c r="J11" s="70" t="str">
        <f t="shared" si="0"/>
        <v/>
      </c>
      <c r="K11" s="70" t="str">
        <f t="shared" si="0"/>
        <v/>
      </c>
      <c r="L11" s="70" t="str">
        <f t="shared" si="0"/>
        <v/>
      </c>
      <c r="M11" s="70" t="str">
        <f t="shared" si="0"/>
        <v/>
      </c>
      <c r="N11" s="70" t="str">
        <f t="shared" si="0"/>
        <v/>
      </c>
      <c r="O11" s="70" t="str">
        <f t="shared" si="0"/>
        <v/>
      </c>
      <c r="P11" s="70" t="str">
        <f t="shared" si="0"/>
        <v/>
      </c>
      <c r="Q11" s="70" t="str">
        <f t="shared" si="0"/>
        <v/>
      </c>
      <c r="R11" s="70" t="str">
        <f t="shared" si="0"/>
        <v/>
      </c>
      <c r="S11" s="70" t="str">
        <f t="shared" si="0"/>
        <v/>
      </c>
      <c r="T11" s="70" t="str">
        <f t="shared" si="0"/>
        <v/>
      </c>
      <c r="U11" s="70" t="str">
        <f t="shared" si="0"/>
        <v/>
      </c>
      <c r="V11" s="70" t="str">
        <f t="shared" si="0"/>
        <v/>
      </c>
      <c r="W11" s="70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12.402612557494594</v>
      </c>
      <c r="C12" s="20">
        <f ca="1">IF(AND($H$1&gt;=1,ISNUMBER(D12)),AVERAGE(D12:W12),"")</f>
        <v>13.187283816591009</v>
      </c>
      <c r="D12" s="21">
        <f t="shared" ref="D12:G31" ca="1" si="1">IF(AND(ISNUMBER($D$1),$F$1&gt;0,ISNUMBER(D$11),D$11&lt;=$H$1),_xlfn.NORM.INV(RAND(),$D$1,SQRT($F$1)),"")</f>
        <v>13.187283816591009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9.7378970415567156</v>
      </c>
      <c r="C13" s="20">
        <f t="shared" ref="C13:C76" ca="1" si="4">IF(AND($H$1&gt;=1,ISNUMBER(D13)),AVERAGE(D13:W13),"")</f>
        <v>12.253712703513148</v>
      </c>
      <c r="D13" s="21">
        <f t="shared" ca="1" si="1"/>
        <v>12.253712703513148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8.6691842489116091</v>
      </c>
      <c r="C14" s="20">
        <f t="shared" ca="1" si="4"/>
        <v>11.154682895053192</v>
      </c>
      <c r="D14" s="21">
        <f t="shared" ca="1" si="1"/>
        <v>11.154682895053192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14.056702749156688</v>
      </c>
      <c r="C15" s="20">
        <f t="shared" ca="1" si="4"/>
        <v>9.9262850172328427</v>
      </c>
      <c r="D15" s="21">
        <f t="shared" ca="1" si="1"/>
        <v>9.9262850172328427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11.567282809746475</v>
      </c>
      <c r="C16" s="20">
        <f t="shared" ca="1" si="4"/>
        <v>10.98448827213906</v>
      </c>
      <c r="D16" s="21">
        <f t="shared" ca="1" si="1"/>
        <v>10.98448827213906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11.720294070789626</v>
      </c>
      <c r="C17" s="20">
        <f t="shared" ca="1" si="4"/>
        <v>9.6123327543972401</v>
      </c>
      <c r="D17" s="21">
        <f t="shared" ca="1" si="1"/>
        <v>9.6123327543972401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10.418034603531247</v>
      </c>
      <c r="C18" s="20">
        <f t="shared" ca="1" si="4"/>
        <v>6.4561965727692314</v>
      </c>
      <c r="D18" s="21">
        <f t="shared" ca="1" si="1"/>
        <v>6.4561965727692314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11.702560235774323</v>
      </c>
      <c r="C19" s="20">
        <f t="shared" ca="1" si="4"/>
        <v>10.635876248773975</v>
      </c>
      <c r="D19" s="21">
        <f t="shared" ca="1" si="1"/>
        <v>10.635876248773975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10.836123874958364</v>
      </c>
      <c r="C20" s="20">
        <f t="shared" ca="1" si="4"/>
        <v>12.156097636945308</v>
      </c>
      <c r="D20" s="21">
        <f t="shared" ca="1" si="1"/>
        <v>12.156097636945308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10.793417918162467</v>
      </c>
      <c r="C21" s="20">
        <f t="shared" ca="1" si="4"/>
        <v>5.633519639448461</v>
      </c>
      <c r="D21" s="21">
        <f t="shared" ca="1" si="1"/>
        <v>5.633519639448461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11.214198133530804</v>
      </c>
      <c r="C22" s="20">
        <f t="shared" ca="1" si="4"/>
        <v>8.6301166790748063</v>
      </c>
      <c r="D22" s="21">
        <f t="shared" ca="1" si="1"/>
        <v>8.6301166790748063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8.6367185558561204</v>
      </c>
      <c r="C23" s="20">
        <f t="shared" ca="1" si="4"/>
        <v>8.9429287212457336</v>
      </c>
      <c r="D23" s="21">
        <f t="shared" ca="1" si="1"/>
        <v>8.9429287212457336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10.373034813292476</v>
      </c>
      <c r="C24" s="20">
        <f t="shared" ca="1" si="4"/>
        <v>10.681186413399587</v>
      </c>
      <c r="D24" s="21">
        <f t="shared" ca="1" si="1"/>
        <v>10.681186413399587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9.4431270573739301</v>
      </c>
      <c r="C25" s="20">
        <f t="shared" ca="1" si="4"/>
        <v>8.9875803598502166</v>
      </c>
      <c r="D25" s="21">
        <f t="shared" ca="1" si="1"/>
        <v>8.9875803598502166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8.5619947508801442</v>
      </c>
      <c r="C26" s="20">
        <f t="shared" ca="1" si="4"/>
        <v>8.1346286131693422</v>
      </c>
      <c r="D26" s="21">
        <f t="shared" ca="1" si="1"/>
        <v>8.1346286131693422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8.05530091584885</v>
      </c>
      <c r="C27" s="20">
        <f t="shared" ca="1" si="4"/>
        <v>8.5500719764191544</v>
      </c>
      <c r="D27" s="21">
        <f t="shared" ca="1" si="1"/>
        <v>8.5500719764191544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12.69789076165733</v>
      </c>
      <c r="C28" s="20">
        <f t="shared" ca="1" si="4"/>
        <v>6.661141065601103</v>
      </c>
      <c r="D28" s="21">
        <f t="shared" ca="1" si="1"/>
        <v>6.661141065601103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11.595516685023153</v>
      </c>
      <c r="C29" s="20">
        <f t="shared" ca="1" si="4"/>
        <v>9.1107519801932906</v>
      </c>
      <c r="D29" s="21">
        <f t="shared" ca="1" si="1"/>
        <v>9.1107519801932906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9.6631897873029224</v>
      </c>
      <c r="C30" s="20">
        <f t="shared" ca="1" si="4"/>
        <v>10.041740301098637</v>
      </c>
      <c r="D30" s="21">
        <f t="shared" ca="1" si="1"/>
        <v>10.041740301098637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9.3546477993387569</v>
      </c>
      <c r="C31" s="20">
        <f t="shared" ca="1" si="4"/>
        <v>9.4236859465315028</v>
      </c>
      <c r="D31" s="21">
        <f t="shared" ca="1" si="1"/>
        <v>9.4236859465315028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6.7741600245104872</v>
      </c>
      <c r="C32" s="20">
        <f t="shared" ca="1" si="4"/>
        <v>7.4750345778248368</v>
      </c>
      <c r="D32" s="21">
        <f t="shared" ref="D32:G51" ca="1" si="6">IF(AND(ISNUMBER($D$1),$F$1&gt;0,ISNUMBER(D$11),D$11&lt;=$H$1),_xlfn.NORM.INV(RAND(),$D$1,SQRT($F$1)),"")</f>
        <v>7.4750345778248368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11.098273812409069</v>
      </c>
      <c r="C33" s="20">
        <f t="shared" ca="1" si="4"/>
        <v>12.544886342161098</v>
      </c>
      <c r="D33" s="21">
        <f t="shared" ca="1" si="6"/>
        <v>12.544886342161098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9.8326078959091472</v>
      </c>
      <c r="C34" s="20">
        <f t="shared" ca="1" si="4"/>
        <v>9.6306175312824926</v>
      </c>
      <c r="D34" s="21">
        <f t="shared" ca="1" si="6"/>
        <v>9.6306175312824926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9.9351824262487227</v>
      </c>
      <c r="C35" s="20">
        <f t="shared" ca="1" si="4"/>
        <v>11.208208399064388</v>
      </c>
      <c r="D35" s="21">
        <f t="shared" ca="1" si="6"/>
        <v>11.208208399064388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10.290547434795696</v>
      </c>
      <c r="C36" s="20">
        <f t="shared" ca="1" si="4"/>
        <v>6.1612044947088167</v>
      </c>
      <c r="D36" s="21">
        <f t="shared" ca="1" si="6"/>
        <v>6.1612044947088167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6.6144681422971559</v>
      </c>
      <c r="C37" s="20">
        <f t="shared" ca="1" si="4"/>
        <v>10.144379563013416</v>
      </c>
      <c r="D37" s="21">
        <f t="shared" ca="1" si="6"/>
        <v>10.144379563013416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11.407445988413803</v>
      </c>
      <c r="C38" s="20">
        <f t="shared" ca="1" si="4"/>
        <v>11.273567972097169</v>
      </c>
      <c r="D38" s="21">
        <f t="shared" ca="1" si="6"/>
        <v>11.273567972097169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8.058426065576489</v>
      </c>
      <c r="C39" s="20">
        <f t="shared" ca="1" si="4"/>
        <v>12.580444386525892</v>
      </c>
      <c r="D39" s="21">
        <f t="shared" ca="1" si="6"/>
        <v>12.580444386525892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15.346027753737568</v>
      </c>
      <c r="C40" s="20">
        <f t="shared" ca="1" si="4"/>
        <v>9.0138932355161625</v>
      </c>
      <c r="D40" s="21">
        <f t="shared" ca="1" si="6"/>
        <v>9.0138932355161625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16.76017723328086</v>
      </c>
      <c r="C41" s="20">
        <f t="shared" ca="1" si="4"/>
        <v>10.743464142919827</v>
      </c>
      <c r="D41" s="21">
        <f t="shared" ca="1" si="6"/>
        <v>10.743464142919827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7.8232317647343823</v>
      </c>
      <c r="C42" s="20">
        <f t="shared" ca="1" si="4"/>
        <v>10.001916421913432</v>
      </c>
      <c r="D42" s="21">
        <f t="shared" ca="1" si="6"/>
        <v>10.001916421913432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9.1070283771759293</v>
      </c>
      <c r="C43" s="20">
        <f t="shared" ca="1" si="4"/>
        <v>8.9889868383564497</v>
      </c>
      <c r="D43" s="21">
        <f t="shared" ca="1" si="6"/>
        <v>8.9889868383564497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11.795363318847409</v>
      </c>
      <c r="C44" s="20">
        <f t="shared" ca="1" si="4"/>
        <v>9.4635603624612656</v>
      </c>
      <c r="D44" s="21">
        <f t="shared" ca="1" si="6"/>
        <v>9.4635603624612656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10.723468419958571</v>
      </c>
      <c r="C45" s="20">
        <f t="shared" ca="1" si="4"/>
        <v>8.7239620945653744</v>
      </c>
      <c r="D45" s="21">
        <f t="shared" ca="1" si="6"/>
        <v>8.7239620945653744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7.6024217480271483</v>
      </c>
      <c r="C46" s="20">
        <f t="shared" ca="1" si="4"/>
        <v>9.9941383767168794</v>
      </c>
      <c r="D46" s="21">
        <f t="shared" ca="1" si="6"/>
        <v>9.9941383767168794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13.325402850844842</v>
      </c>
      <c r="C47" s="20">
        <f t="shared" ca="1" si="4"/>
        <v>13.962530502005466</v>
      </c>
      <c r="D47" s="21">
        <f t="shared" ca="1" si="6"/>
        <v>13.962530502005466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7.1341246573920838</v>
      </c>
      <c r="C48" s="20">
        <f t="shared" ca="1" si="4"/>
        <v>11.108861979044324</v>
      </c>
      <c r="D48" s="21">
        <f t="shared" ca="1" si="6"/>
        <v>11.108861979044324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13.123019900562621</v>
      </c>
      <c r="C49" s="20">
        <f t="shared" ca="1" si="4"/>
        <v>7.9854925004315405</v>
      </c>
      <c r="D49" s="21">
        <f t="shared" ca="1" si="6"/>
        <v>7.9854925004315405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12.018666823813902</v>
      </c>
      <c r="C50" s="20">
        <f t="shared" ca="1" si="4"/>
        <v>11.352518236086484</v>
      </c>
      <c r="D50" s="21">
        <f t="shared" ca="1" si="6"/>
        <v>11.352518236086484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8.4234638597379146</v>
      </c>
      <c r="C51" s="20">
        <f t="shared" ca="1" si="4"/>
        <v>10.619148248336405</v>
      </c>
      <c r="D51" s="21">
        <f t="shared" ca="1" si="6"/>
        <v>10.619148248336405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9.5837332613987698</v>
      </c>
      <c r="C52" s="20">
        <f t="shared" ca="1" si="4"/>
        <v>11.994175949438279</v>
      </c>
      <c r="D52" s="21">
        <f t="shared" ref="D52:G71" ca="1" si="9">IF(AND(ISNUMBER($D$1),$F$1&gt;0,ISNUMBER(D$11),D$11&lt;=$H$1),_xlfn.NORM.INV(RAND(),$D$1,SQRT($F$1)),"")</f>
        <v>11.994175949438279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10.791939714229329</v>
      </c>
      <c r="C53" s="20">
        <f t="shared" ca="1" si="4"/>
        <v>11.829800141164307</v>
      </c>
      <c r="D53" s="21">
        <f t="shared" ca="1" si="9"/>
        <v>11.829800141164307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11.697525572313628</v>
      </c>
      <c r="C54" s="20">
        <f t="shared" ca="1" si="4"/>
        <v>10.117734710559619</v>
      </c>
      <c r="D54" s="21">
        <f t="shared" ca="1" si="9"/>
        <v>10.117734710559619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10.218307500237167</v>
      </c>
      <c r="C55" s="20">
        <f t="shared" ca="1" si="4"/>
        <v>9.4986360063053077</v>
      </c>
      <c r="D55" s="21">
        <f t="shared" ca="1" si="9"/>
        <v>9.4986360063053077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12.945819219365381</v>
      </c>
      <c r="C56" s="20">
        <f t="shared" ca="1" si="4"/>
        <v>12.22413956929908</v>
      </c>
      <c r="D56" s="21">
        <f t="shared" ca="1" si="9"/>
        <v>12.22413956929908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10.115905130029855</v>
      </c>
      <c r="C57" s="20">
        <f t="shared" ca="1" si="4"/>
        <v>10.120239411955913</v>
      </c>
      <c r="D57" s="21">
        <f t="shared" ca="1" si="9"/>
        <v>10.120239411955913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9.1552849033483525</v>
      </c>
      <c r="C58" s="20">
        <f t="shared" ca="1" si="4"/>
        <v>10.312429404807983</v>
      </c>
      <c r="D58" s="21">
        <f t="shared" ca="1" si="9"/>
        <v>10.312429404807983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9.5285304351674398</v>
      </c>
      <c r="C59" s="20">
        <f t="shared" ca="1" si="4"/>
        <v>9.1107486538241211</v>
      </c>
      <c r="D59" s="21">
        <f t="shared" ca="1" si="9"/>
        <v>9.1107486538241211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7.3770704137645708</v>
      </c>
      <c r="C60" s="20">
        <f t="shared" ca="1" si="4"/>
        <v>12.429650108028365</v>
      </c>
      <c r="D60" s="21">
        <f t="shared" ca="1" si="9"/>
        <v>12.429650108028365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12.073302307800521</v>
      </c>
      <c r="C61" s="20">
        <f t="shared" ca="1" si="4"/>
        <v>9.386275255861575</v>
      </c>
      <c r="D61" s="21">
        <f t="shared" ca="1" si="9"/>
        <v>9.386275255861575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11.737819564307433</v>
      </c>
      <c r="C62" s="20">
        <f t="shared" ca="1" si="4"/>
        <v>9.6910890044956997</v>
      </c>
      <c r="D62" s="21">
        <f t="shared" ca="1" si="9"/>
        <v>9.6910890044956997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6.1718455131068266</v>
      </c>
      <c r="C63" s="20">
        <f t="shared" ca="1" si="4"/>
        <v>8.9229522045314109</v>
      </c>
      <c r="D63" s="21">
        <f t="shared" ca="1" si="9"/>
        <v>8.9229522045314109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8.8240820696831168</v>
      </c>
      <c r="C64" s="20">
        <f t="shared" ca="1" si="4"/>
        <v>10.233933759673299</v>
      </c>
      <c r="D64" s="21">
        <f t="shared" ca="1" si="9"/>
        <v>10.233933759673299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12.36044819681997</v>
      </c>
      <c r="C65" s="20">
        <f t="shared" ca="1" si="4"/>
        <v>10.187202618399919</v>
      </c>
      <c r="D65" s="21">
        <f t="shared" ca="1" si="9"/>
        <v>10.187202618399919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8.3415763634177402</v>
      </c>
      <c r="C66" s="20">
        <f t="shared" ca="1" si="4"/>
        <v>10.329956534373785</v>
      </c>
      <c r="D66" s="21">
        <f t="shared" ca="1" si="9"/>
        <v>10.329956534373785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13.402422069121394</v>
      </c>
      <c r="C67" s="20">
        <f t="shared" ca="1" si="4"/>
        <v>10.577949287501376</v>
      </c>
      <c r="D67" s="21">
        <f t="shared" ca="1" si="9"/>
        <v>10.577949287501376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7.5183056068273402</v>
      </c>
      <c r="C68" s="20">
        <f t="shared" ca="1" si="4"/>
        <v>10.271346150646677</v>
      </c>
      <c r="D68" s="21">
        <f t="shared" ca="1" si="9"/>
        <v>10.271346150646677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8.6150218587102376</v>
      </c>
      <c r="C69" s="20">
        <f t="shared" ca="1" si="4"/>
        <v>10.970088898816893</v>
      </c>
      <c r="D69" s="21">
        <f t="shared" ca="1" si="9"/>
        <v>10.970088898816893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5.4849974664541934</v>
      </c>
      <c r="C70" s="20">
        <f t="shared" ca="1" si="4"/>
        <v>11.722311779539915</v>
      </c>
      <c r="D70" s="21">
        <f t="shared" ca="1" si="9"/>
        <v>11.722311779539915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10.200193757995695</v>
      </c>
      <c r="C71" s="20">
        <f t="shared" ca="1" si="4"/>
        <v>10.500046566935142</v>
      </c>
      <c r="D71" s="21">
        <f t="shared" ca="1" si="9"/>
        <v>10.500046566935142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6.6289061774914897</v>
      </c>
      <c r="C72" s="20">
        <f t="shared" ca="1" si="4"/>
        <v>12.651826282845025</v>
      </c>
      <c r="D72" s="21">
        <f t="shared" ref="D72:G91" ca="1" si="12">IF(AND(ISNUMBER($D$1),$F$1&gt;0,ISNUMBER(D$11),D$11&lt;=$H$1),_xlfn.NORM.INV(RAND(),$D$1,SQRT($F$1)),"")</f>
        <v>12.651826282845025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8.1468916479463687</v>
      </c>
      <c r="C73" s="20">
        <f t="shared" ca="1" si="4"/>
        <v>11.486084516269239</v>
      </c>
      <c r="D73" s="21">
        <f t="shared" ca="1" si="12"/>
        <v>11.486084516269239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8.9056399383931648</v>
      </c>
      <c r="C74" s="20">
        <f t="shared" ca="1" si="4"/>
        <v>9.348132363609718</v>
      </c>
      <c r="D74" s="21">
        <f t="shared" ca="1" si="12"/>
        <v>9.348132363609718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11.8061392396835</v>
      </c>
      <c r="C75" s="20">
        <f t="shared" ca="1" si="4"/>
        <v>11.524721999939977</v>
      </c>
      <c r="D75" s="21">
        <f t="shared" ca="1" si="12"/>
        <v>11.524721999939977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8.3829903983190679</v>
      </c>
      <c r="C76" s="20">
        <f t="shared" ca="1" si="4"/>
        <v>8.0926915689503698</v>
      </c>
      <c r="D76" s="21">
        <f t="shared" ca="1" si="12"/>
        <v>8.0926915689503698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11.500118800656191</v>
      </c>
      <c r="C77" s="20">
        <f t="shared" ref="C77:C140" ca="1" si="15">IF(AND($H$1&gt;=1,ISNUMBER(D77)),AVERAGE(D77:W77),"")</f>
        <v>9.8800090526454785</v>
      </c>
      <c r="D77" s="21">
        <f t="shared" ca="1" si="12"/>
        <v>9.8800090526454785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9.9672832842497385</v>
      </c>
      <c r="C78" s="20">
        <f t="shared" ca="1" si="15"/>
        <v>10.162516381440678</v>
      </c>
      <c r="D78" s="21">
        <f t="shared" ca="1" si="12"/>
        <v>10.162516381440678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6.7372146166704354</v>
      </c>
      <c r="C79" s="20">
        <f t="shared" ca="1" si="15"/>
        <v>4.9262437951169584</v>
      </c>
      <c r="D79" s="21">
        <f t="shared" ca="1" si="12"/>
        <v>4.9262437951169584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10.441957410153805</v>
      </c>
      <c r="C80" s="20">
        <f t="shared" ca="1" si="15"/>
        <v>7.9001413108172134</v>
      </c>
      <c r="D80" s="21">
        <f t="shared" ca="1" si="12"/>
        <v>7.9001413108172134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7.970576062911169</v>
      </c>
      <c r="C81" s="20">
        <f t="shared" ca="1" si="15"/>
        <v>9.7740044564538238</v>
      </c>
      <c r="D81" s="21">
        <f t="shared" ca="1" si="12"/>
        <v>9.7740044564538238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11.63547463277504</v>
      </c>
      <c r="C82" s="20">
        <f t="shared" ca="1" si="15"/>
        <v>12.777550397386621</v>
      </c>
      <c r="D82" s="21">
        <f t="shared" ca="1" si="12"/>
        <v>12.777550397386621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10.528936218881437</v>
      </c>
      <c r="C83" s="20">
        <f t="shared" ca="1" si="15"/>
        <v>8.0071537291516535</v>
      </c>
      <c r="D83" s="21">
        <f t="shared" ca="1" si="12"/>
        <v>8.0071537291516535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9.2560958075390189</v>
      </c>
      <c r="C84" s="20">
        <f t="shared" ca="1" si="15"/>
        <v>11.862671375340247</v>
      </c>
      <c r="D84" s="21">
        <f t="shared" ca="1" si="12"/>
        <v>11.862671375340247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10.030818314391965</v>
      </c>
      <c r="C85" s="20">
        <f t="shared" ca="1" si="15"/>
        <v>12.194491066704462</v>
      </c>
      <c r="D85" s="21">
        <f t="shared" ca="1" si="12"/>
        <v>12.194491066704462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9.6922046459127404</v>
      </c>
      <c r="C86" s="20">
        <f t="shared" ca="1" si="15"/>
        <v>9.8896511924302946</v>
      </c>
      <c r="D86" s="21">
        <f t="shared" ca="1" si="12"/>
        <v>9.8896511924302946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9.912727469922773</v>
      </c>
      <c r="C87" s="20">
        <f t="shared" ca="1" si="15"/>
        <v>10.507560571378091</v>
      </c>
      <c r="D87" s="21">
        <f t="shared" ca="1" si="12"/>
        <v>10.507560571378091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6.3177391777591811</v>
      </c>
      <c r="C88" s="20">
        <f t="shared" ca="1" si="15"/>
        <v>8.4262132130711684</v>
      </c>
      <c r="D88" s="21">
        <f t="shared" ca="1" si="12"/>
        <v>8.4262132130711684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10.420571154047947</v>
      </c>
      <c r="C89" s="20">
        <f t="shared" ca="1" si="15"/>
        <v>7.3960094443954949</v>
      </c>
      <c r="D89" s="21">
        <f t="shared" ca="1" si="12"/>
        <v>7.3960094443954949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10.788564193470565</v>
      </c>
      <c r="C90" s="20">
        <f t="shared" ca="1" si="15"/>
        <v>8.5848032137510071</v>
      </c>
      <c r="D90" s="21">
        <f t="shared" ca="1" si="12"/>
        <v>8.5848032137510071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10.212045560212596</v>
      </c>
      <c r="C91" s="20">
        <f t="shared" ca="1" si="15"/>
        <v>10.480434910988844</v>
      </c>
      <c r="D91" s="21">
        <f t="shared" ca="1" si="12"/>
        <v>10.480434910988844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8.1395899998703509</v>
      </c>
      <c r="C92" s="20">
        <f t="shared" ca="1" si="15"/>
        <v>9.1919463829068899</v>
      </c>
      <c r="D92" s="21">
        <f t="shared" ref="D92:G111" ca="1" si="17">IF(AND(ISNUMBER($D$1),$F$1&gt;0,ISNUMBER(D$11),D$11&lt;=$H$1),_xlfn.NORM.INV(RAND(),$D$1,SQRT($F$1)),"")</f>
        <v>9.1919463829068899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14.891124072411435</v>
      </c>
      <c r="C93" s="20">
        <f t="shared" ca="1" si="15"/>
        <v>11.386995737519863</v>
      </c>
      <c r="D93" s="21">
        <f t="shared" ca="1" si="17"/>
        <v>11.386995737519863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13.799011291577525</v>
      </c>
      <c r="C94" s="20">
        <f t="shared" ca="1" si="15"/>
        <v>6.7697455464800536</v>
      </c>
      <c r="D94" s="21">
        <f t="shared" ca="1" si="17"/>
        <v>6.7697455464800536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11.956334423805226</v>
      </c>
      <c r="C95" s="20">
        <f t="shared" ca="1" si="15"/>
        <v>9.3624908336494475</v>
      </c>
      <c r="D95" s="21">
        <f t="shared" ca="1" si="17"/>
        <v>9.3624908336494475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12.012321427216239</v>
      </c>
      <c r="C96" s="20">
        <f t="shared" ca="1" si="15"/>
        <v>14.553057394348519</v>
      </c>
      <c r="D96" s="21">
        <f t="shared" ca="1" si="17"/>
        <v>14.553057394348519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7.4590548271250121</v>
      </c>
      <c r="C97" s="20">
        <f t="shared" ca="1" si="15"/>
        <v>7.600273546092934</v>
      </c>
      <c r="D97" s="21">
        <f t="shared" ca="1" si="17"/>
        <v>7.600273546092934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8.2784301650449628</v>
      </c>
      <c r="C98" s="20">
        <f t="shared" ca="1" si="15"/>
        <v>9.5263215657386286</v>
      </c>
      <c r="D98" s="21">
        <f t="shared" ca="1" si="17"/>
        <v>9.5263215657386286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10.079514961849586</v>
      </c>
      <c r="C99" s="20">
        <f t="shared" ca="1" si="15"/>
        <v>8.705645455103264</v>
      </c>
      <c r="D99" s="21">
        <f t="shared" ca="1" si="17"/>
        <v>8.705645455103264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9.1092806333742011</v>
      </c>
      <c r="C100" s="20">
        <f t="shared" ca="1" si="15"/>
        <v>7.6994527092552918</v>
      </c>
      <c r="D100" s="21">
        <f t="shared" ca="1" si="17"/>
        <v>7.6994527092552918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5.4859560789789654</v>
      </c>
      <c r="C101" s="20">
        <f t="shared" ca="1" si="15"/>
        <v>12.954187811384486</v>
      </c>
      <c r="D101" s="21">
        <f t="shared" ca="1" si="17"/>
        <v>12.954187811384486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9.8188837509744875</v>
      </c>
      <c r="C102" s="20">
        <f t="shared" ca="1" si="15"/>
        <v>10.965644872087607</v>
      </c>
      <c r="D102" s="21">
        <f t="shared" ca="1" si="17"/>
        <v>10.965644872087607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6.4264362086561695</v>
      </c>
      <c r="C103" s="20">
        <f t="shared" ca="1" si="15"/>
        <v>6.8750502153396909</v>
      </c>
      <c r="D103" s="21">
        <f t="shared" ca="1" si="17"/>
        <v>6.8750502153396909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12.637848353548677</v>
      </c>
      <c r="C104" s="20">
        <f t="shared" ca="1" si="15"/>
        <v>9.3731703807962941</v>
      </c>
      <c r="D104" s="21">
        <f t="shared" ca="1" si="17"/>
        <v>9.3731703807962941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13.208286930576056</v>
      </c>
      <c r="C105" s="20">
        <f t="shared" ca="1" si="15"/>
        <v>9.3804105331695453</v>
      </c>
      <c r="D105" s="21">
        <f t="shared" ca="1" si="17"/>
        <v>9.3804105331695453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11.208781202411449</v>
      </c>
      <c r="C106" s="20">
        <f t="shared" ca="1" si="15"/>
        <v>11.757581684855207</v>
      </c>
      <c r="D106" s="21">
        <f t="shared" ca="1" si="17"/>
        <v>11.757581684855207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8.2476567512877992</v>
      </c>
      <c r="C107" s="20">
        <f t="shared" ca="1" si="15"/>
        <v>8.3808502713024389</v>
      </c>
      <c r="D107" s="21">
        <f t="shared" ca="1" si="17"/>
        <v>8.3808502713024389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8.9875664801860609</v>
      </c>
      <c r="C108" s="20">
        <f t="shared" ca="1" si="15"/>
        <v>13.44750352688499</v>
      </c>
      <c r="D108" s="21">
        <f t="shared" ca="1" si="17"/>
        <v>13.44750352688499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8.9793232256038742</v>
      </c>
      <c r="C109" s="20">
        <f t="shared" ca="1" si="15"/>
        <v>8.6459573560715945</v>
      </c>
      <c r="D109" s="21">
        <f t="shared" ca="1" si="17"/>
        <v>8.6459573560715945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7.9394480435756458</v>
      </c>
      <c r="C110" s="20">
        <f t="shared" ca="1" si="15"/>
        <v>10.184451451803834</v>
      </c>
      <c r="D110" s="21">
        <f t="shared" ca="1" si="17"/>
        <v>10.184451451803834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9.3615707012015932</v>
      </c>
      <c r="C111" s="20">
        <f t="shared" ca="1" si="15"/>
        <v>11.481894140892129</v>
      </c>
      <c r="D111" s="21">
        <f t="shared" ca="1" si="17"/>
        <v>11.481894140892129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10.805611757562611</v>
      </c>
      <c r="C112" s="20">
        <f t="shared" ca="1" si="15"/>
        <v>10.608504412873694</v>
      </c>
      <c r="D112" s="21">
        <f t="shared" ref="D112:G131" ca="1" si="20">IF(AND(ISNUMBER($D$1),$F$1&gt;0,ISNUMBER(D$11),D$11&lt;=$H$1),_xlfn.NORM.INV(RAND(),$D$1,SQRT($F$1)),"")</f>
        <v>10.608504412873694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9.8908322261514492</v>
      </c>
      <c r="C113" s="20">
        <f t="shared" ca="1" si="15"/>
        <v>12.401167159870663</v>
      </c>
      <c r="D113" s="21">
        <f t="shared" ca="1" si="20"/>
        <v>12.401167159870663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11.394871960979653</v>
      </c>
      <c r="C114" s="20">
        <f t="shared" ca="1" si="15"/>
        <v>9.101405447148732</v>
      </c>
      <c r="D114" s="21">
        <f t="shared" ca="1" si="20"/>
        <v>9.101405447148732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11.781428614542921</v>
      </c>
      <c r="C115" s="20">
        <f t="shared" ca="1" si="15"/>
        <v>11.826039174443114</v>
      </c>
      <c r="D115" s="21">
        <f t="shared" ca="1" si="20"/>
        <v>11.826039174443114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10.582801632555622</v>
      </c>
      <c r="C116" s="20">
        <f t="shared" ca="1" si="15"/>
        <v>7.8834888702647197</v>
      </c>
      <c r="D116" s="21">
        <f t="shared" ca="1" si="20"/>
        <v>7.8834888702647197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11.913046312125076</v>
      </c>
      <c r="C117" s="20">
        <f t="shared" ca="1" si="15"/>
        <v>7.0796637414340484</v>
      </c>
      <c r="D117" s="21">
        <f t="shared" ca="1" si="20"/>
        <v>7.0796637414340484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11.399057320500711</v>
      </c>
      <c r="C118" s="20">
        <f t="shared" ca="1" si="15"/>
        <v>7.8871651753600203</v>
      </c>
      <c r="D118" s="21">
        <f t="shared" ca="1" si="20"/>
        <v>7.8871651753600203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11.222855215838701</v>
      </c>
      <c r="C119" s="20">
        <f t="shared" ca="1" si="15"/>
        <v>9.5006109039073419</v>
      </c>
      <c r="D119" s="21">
        <f t="shared" ca="1" si="20"/>
        <v>9.5006109039073419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10.882782410533521</v>
      </c>
      <c r="C120" s="20">
        <f t="shared" ca="1" si="15"/>
        <v>11.339372189763221</v>
      </c>
      <c r="D120" s="21">
        <f t="shared" ca="1" si="20"/>
        <v>11.339372189763221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9.7475991311838044</v>
      </c>
      <c r="C121" s="20">
        <f t="shared" ca="1" si="15"/>
        <v>11.024371294231882</v>
      </c>
      <c r="D121" s="21">
        <f t="shared" ca="1" si="20"/>
        <v>11.024371294231882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9.8114931544672785</v>
      </c>
      <c r="C122" s="20">
        <f t="shared" ca="1" si="15"/>
        <v>9.28776615026295</v>
      </c>
      <c r="D122" s="21">
        <f t="shared" ca="1" si="20"/>
        <v>9.28776615026295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8.4024115787537159</v>
      </c>
      <c r="C123" s="20">
        <f t="shared" ca="1" si="15"/>
        <v>10.13742259767548</v>
      </c>
      <c r="D123" s="21">
        <f t="shared" ca="1" si="20"/>
        <v>10.13742259767548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8.1114683790511624</v>
      </c>
      <c r="C124" s="20">
        <f t="shared" ca="1" si="15"/>
        <v>12.078462053096109</v>
      </c>
      <c r="D124" s="21">
        <f t="shared" ca="1" si="20"/>
        <v>12.078462053096109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11.458729579819783</v>
      </c>
      <c r="C125" s="20">
        <f t="shared" ca="1" si="15"/>
        <v>8.0215248035434676</v>
      </c>
      <c r="D125" s="21">
        <f t="shared" ca="1" si="20"/>
        <v>8.0215248035434676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11.649650767736551</v>
      </c>
      <c r="C126" s="20">
        <f t="shared" ca="1" si="15"/>
        <v>8.6877072996366937</v>
      </c>
      <c r="D126" s="21">
        <f t="shared" ca="1" si="20"/>
        <v>8.6877072996366937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5.7666250073615926</v>
      </c>
      <c r="C127" s="20">
        <f t="shared" ca="1" si="15"/>
        <v>7.1822636590866455</v>
      </c>
      <c r="D127" s="21">
        <f t="shared" ca="1" si="20"/>
        <v>7.1822636590866455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7.8204598729929931</v>
      </c>
      <c r="C128" s="20">
        <f t="shared" ca="1" si="15"/>
        <v>11.632418464944166</v>
      </c>
      <c r="D128" s="21">
        <f t="shared" ca="1" si="20"/>
        <v>11.632418464944166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11.606455111088069</v>
      </c>
      <c r="C129" s="20">
        <f t="shared" ca="1" si="15"/>
        <v>11.185087559035718</v>
      </c>
      <c r="D129" s="21">
        <f t="shared" ca="1" si="20"/>
        <v>11.185087559035718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11.981586419948977</v>
      </c>
      <c r="C130" s="20">
        <f t="shared" ca="1" si="15"/>
        <v>6.4328251995106545</v>
      </c>
      <c r="D130" s="21">
        <f t="shared" ca="1" si="20"/>
        <v>6.4328251995106545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7.533242117733459</v>
      </c>
      <c r="C131" s="20">
        <f t="shared" ca="1" si="15"/>
        <v>9.3318898715806142</v>
      </c>
      <c r="D131" s="21">
        <f t="shared" ca="1" si="20"/>
        <v>9.3318898715806142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10.469143533659562</v>
      </c>
      <c r="C132" s="20">
        <f t="shared" ca="1" si="15"/>
        <v>13.863105155248093</v>
      </c>
      <c r="D132" s="21">
        <f t="shared" ref="D132:G151" ca="1" si="23">IF(AND(ISNUMBER($D$1),$F$1&gt;0,ISNUMBER(D$11),D$11&lt;=$H$1),_xlfn.NORM.INV(RAND(),$D$1,SQRT($F$1)),"")</f>
        <v>13.863105155248093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12.554211284858923</v>
      </c>
      <c r="C133" s="20">
        <f t="shared" ca="1" si="15"/>
        <v>11.768762273428626</v>
      </c>
      <c r="D133" s="21">
        <f t="shared" ca="1" si="23"/>
        <v>11.768762273428626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6.9810541101987464</v>
      </c>
      <c r="C134" s="20">
        <f t="shared" ca="1" si="15"/>
        <v>14.336790535869415</v>
      </c>
      <c r="D134" s="21">
        <f t="shared" ca="1" si="23"/>
        <v>14.336790535869415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11.901006407675061</v>
      </c>
      <c r="C135" s="20">
        <f t="shared" ca="1" si="15"/>
        <v>11.212794503510551</v>
      </c>
      <c r="D135" s="21">
        <f t="shared" ca="1" si="23"/>
        <v>11.212794503510551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7.4216798501427563</v>
      </c>
      <c r="C136" s="20">
        <f t="shared" ca="1" si="15"/>
        <v>12.979700529543429</v>
      </c>
      <c r="D136" s="21">
        <f t="shared" ca="1" si="23"/>
        <v>12.979700529543429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12.693533825544275</v>
      </c>
      <c r="C137" s="20">
        <f t="shared" ca="1" si="15"/>
        <v>10.353441366912268</v>
      </c>
      <c r="D137" s="21">
        <f t="shared" ca="1" si="23"/>
        <v>10.353441366912268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6.4961819023900018</v>
      </c>
      <c r="C138" s="20">
        <f t="shared" ca="1" si="15"/>
        <v>11.847364092746611</v>
      </c>
      <c r="D138" s="21">
        <f t="shared" ca="1" si="23"/>
        <v>11.847364092746611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9.8364497050217068</v>
      </c>
      <c r="C139" s="20">
        <f t="shared" ca="1" si="15"/>
        <v>10.801552842317964</v>
      </c>
      <c r="D139" s="21">
        <f t="shared" ca="1" si="23"/>
        <v>10.801552842317964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6.830202932218512</v>
      </c>
      <c r="C140" s="20">
        <f t="shared" ca="1" si="15"/>
        <v>11.452618570055689</v>
      </c>
      <c r="D140" s="21">
        <f t="shared" ca="1" si="23"/>
        <v>11.452618570055689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10.650704383022919</v>
      </c>
      <c r="C141" s="20">
        <f t="shared" ref="C141:C204" ca="1" si="26">IF(AND($H$1&gt;=1,ISNUMBER(D141)),AVERAGE(D141:W141),"")</f>
        <v>7.3134557798589324</v>
      </c>
      <c r="D141" s="21">
        <f t="shared" ca="1" si="23"/>
        <v>7.3134557798589324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10.581429340137255</v>
      </c>
      <c r="C142" s="20">
        <f t="shared" ca="1" si="26"/>
        <v>11.376607815970763</v>
      </c>
      <c r="D142" s="21">
        <f t="shared" ca="1" si="23"/>
        <v>11.376607815970763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5.4692794950056669</v>
      </c>
      <c r="C143" s="20">
        <f t="shared" ca="1" si="26"/>
        <v>10.203284129103304</v>
      </c>
      <c r="D143" s="21">
        <f t="shared" ca="1" si="23"/>
        <v>10.203284129103304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10.176869356077331</v>
      </c>
      <c r="C144" s="20">
        <f t="shared" ca="1" si="26"/>
        <v>7.7998572652764917</v>
      </c>
      <c r="D144" s="21">
        <f t="shared" ca="1" si="23"/>
        <v>7.7998572652764917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9.8768838672685586</v>
      </c>
      <c r="C145" s="20">
        <f t="shared" ca="1" si="26"/>
        <v>11.577406704602065</v>
      </c>
      <c r="D145" s="21">
        <f t="shared" ca="1" si="23"/>
        <v>11.577406704602065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11.18274060920543</v>
      </c>
      <c r="C146" s="20">
        <f t="shared" ca="1" si="26"/>
        <v>7.7913878812442974</v>
      </c>
      <c r="D146" s="21">
        <f t="shared" ca="1" si="23"/>
        <v>7.7913878812442974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8.3245897340203996</v>
      </c>
      <c r="C147" s="20">
        <f t="shared" ca="1" si="26"/>
        <v>7.5987184087427408</v>
      </c>
      <c r="D147" s="21">
        <f t="shared" ca="1" si="23"/>
        <v>7.5987184087427408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11.623072395162625</v>
      </c>
      <c r="C148" s="20">
        <f t="shared" ca="1" si="26"/>
        <v>8.9263912152153093</v>
      </c>
      <c r="D148" s="21">
        <f t="shared" ca="1" si="23"/>
        <v>8.9263912152153093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8.6424321270521069</v>
      </c>
      <c r="C149" s="20">
        <f t="shared" ca="1" si="26"/>
        <v>9.6400209922407551</v>
      </c>
      <c r="D149" s="21">
        <f t="shared" ca="1" si="23"/>
        <v>9.6400209922407551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13.773612042588727</v>
      </c>
      <c r="C150" s="20">
        <f t="shared" ca="1" si="26"/>
        <v>9.556467530265996</v>
      </c>
      <c r="D150" s="21">
        <f t="shared" ca="1" si="23"/>
        <v>9.556467530265996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10.747237743493276</v>
      </c>
      <c r="C151" s="20">
        <f t="shared" ca="1" si="26"/>
        <v>8.7192515129586461</v>
      </c>
      <c r="D151" s="21">
        <f t="shared" ca="1" si="23"/>
        <v>8.7192515129586461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7.4412177529832606</v>
      </c>
      <c r="C152" s="20">
        <f t="shared" ca="1" si="26"/>
        <v>10.446689149243415</v>
      </c>
      <c r="D152" s="21">
        <f t="shared" ref="D152:G171" ca="1" si="28">IF(AND(ISNUMBER($D$1),$F$1&gt;0,ISNUMBER(D$11),D$11&lt;=$H$1),_xlfn.NORM.INV(RAND(),$D$1,SQRT($F$1)),"")</f>
        <v>10.446689149243415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12.722243862377695</v>
      </c>
      <c r="C153" s="20">
        <f t="shared" ca="1" si="26"/>
        <v>5.9997206406974728</v>
      </c>
      <c r="D153" s="21">
        <f t="shared" ca="1" si="28"/>
        <v>5.9997206406974728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10.518281140372007</v>
      </c>
      <c r="C154" s="20">
        <f t="shared" ca="1" si="26"/>
        <v>9.1990052951306716</v>
      </c>
      <c r="D154" s="21">
        <f t="shared" ca="1" si="28"/>
        <v>9.1990052951306716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11.765385093280445</v>
      </c>
      <c r="C155" s="20">
        <f t="shared" ca="1" si="26"/>
        <v>7.7444141885094631</v>
      </c>
      <c r="D155" s="21">
        <f t="shared" ca="1" si="28"/>
        <v>7.7444141885094631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10.020232134229678</v>
      </c>
      <c r="C156" s="20">
        <f t="shared" ca="1" si="26"/>
        <v>6.7260410045462926</v>
      </c>
      <c r="D156" s="21">
        <f t="shared" ca="1" si="28"/>
        <v>6.7260410045462926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9.7790162894275543</v>
      </c>
      <c r="C157" s="20">
        <f t="shared" ca="1" si="26"/>
        <v>10.135960917908445</v>
      </c>
      <c r="D157" s="21">
        <f t="shared" ca="1" si="28"/>
        <v>10.135960917908445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11.189641962119946</v>
      </c>
      <c r="C158" s="20">
        <f t="shared" ca="1" si="26"/>
        <v>10.787433857655774</v>
      </c>
      <c r="D158" s="21">
        <f t="shared" ca="1" si="28"/>
        <v>10.787433857655774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11.122726703613338</v>
      </c>
      <c r="C159" s="20">
        <f t="shared" ca="1" si="26"/>
        <v>9.1834869536578783</v>
      </c>
      <c r="D159" s="21">
        <f t="shared" ca="1" si="28"/>
        <v>9.1834869536578783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9.9201650536640376</v>
      </c>
      <c r="C160" s="20">
        <f t="shared" ca="1" si="26"/>
        <v>13.855318307924305</v>
      </c>
      <c r="D160" s="21">
        <f t="shared" ca="1" si="28"/>
        <v>13.855318307924305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8.4042279847706887</v>
      </c>
      <c r="C161" s="20">
        <f t="shared" ca="1" si="26"/>
        <v>9.0776347973688907</v>
      </c>
      <c r="D161" s="21">
        <f t="shared" ca="1" si="28"/>
        <v>9.0776347973688907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13.218033729871504</v>
      </c>
      <c r="C162" s="20">
        <f t="shared" ca="1" si="26"/>
        <v>11.80724874642214</v>
      </c>
      <c r="D162" s="21">
        <f t="shared" ca="1" si="28"/>
        <v>11.80724874642214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9.8101527958371602</v>
      </c>
      <c r="C163" s="20">
        <f t="shared" ca="1" si="26"/>
        <v>10.181600618530942</v>
      </c>
      <c r="D163" s="21">
        <f t="shared" ca="1" si="28"/>
        <v>10.181600618530942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12.845946333168119</v>
      </c>
      <c r="C164" s="20">
        <f t="shared" ca="1" si="26"/>
        <v>6.4176497156706276</v>
      </c>
      <c r="D164" s="21">
        <f t="shared" ca="1" si="28"/>
        <v>6.4176497156706276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8.8910595270919224</v>
      </c>
      <c r="C165" s="20">
        <f t="shared" ca="1" si="26"/>
        <v>9.136831786368834</v>
      </c>
      <c r="D165" s="21">
        <f t="shared" ca="1" si="28"/>
        <v>9.136831786368834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10.004578180904991</v>
      </c>
      <c r="C166" s="20">
        <f t="shared" ca="1" si="26"/>
        <v>9.5954384367818744</v>
      </c>
      <c r="D166" s="21">
        <f t="shared" ca="1" si="28"/>
        <v>9.5954384367818744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9.535400687151979</v>
      </c>
      <c r="C167" s="20">
        <f t="shared" ca="1" si="26"/>
        <v>9.6511483946183532</v>
      </c>
      <c r="D167" s="21">
        <f t="shared" ca="1" si="28"/>
        <v>9.6511483946183532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9.7759063620308968</v>
      </c>
      <c r="C168" s="20">
        <f t="shared" ca="1" si="26"/>
        <v>9.1830540691440312</v>
      </c>
      <c r="D168" s="21">
        <f t="shared" ca="1" si="28"/>
        <v>9.1830540691440312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8.7954342624518311</v>
      </c>
      <c r="C169" s="20">
        <f t="shared" ca="1" si="26"/>
        <v>8.1123871997714794</v>
      </c>
      <c r="D169" s="21">
        <f t="shared" ca="1" si="28"/>
        <v>8.1123871997714794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9.2464313010619374</v>
      </c>
      <c r="C170" s="20">
        <f t="shared" ca="1" si="26"/>
        <v>11.18836065355152</v>
      </c>
      <c r="D170" s="21">
        <f t="shared" ca="1" si="28"/>
        <v>11.18836065355152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10.275125120425086</v>
      </c>
      <c r="C171" s="20">
        <f t="shared" ca="1" si="26"/>
        <v>11.028425209406883</v>
      </c>
      <c r="D171" s="21">
        <f t="shared" ca="1" si="28"/>
        <v>11.028425209406883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8.0988131957946905</v>
      </c>
      <c r="C172" s="20">
        <f t="shared" ca="1" si="26"/>
        <v>13.487016403911257</v>
      </c>
      <c r="D172" s="21">
        <f t="shared" ref="D172:G191" ca="1" si="31">IF(AND(ISNUMBER($D$1),$F$1&gt;0,ISNUMBER(D$11),D$11&lt;=$H$1),_xlfn.NORM.INV(RAND(),$D$1,SQRT($F$1)),"")</f>
        <v>13.487016403911257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10.308801239711718</v>
      </c>
      <c r="C173" s="20">
        <f t="shared" ca="1" si="26"/>
        <v>9.1206635744592433</v>
      </c>
      <c r="D173" s="21">
        <f t="shared" ca="1" si="31"/>
        <v>9.1206635744592433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12.389107028216026</v>
      </c>
      <c r="C174" s="20">
        <f t="shared" ca="1" si="26"/>
        <v>11.40324592427101</v>
      </c>
      <c r="D174" s="21">
        <f t="shared" ca="1" si="31"/>
        <v>11.40324592427101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7.0944940204935216</v>
      </c>
      <c r="C175" s="20">
        <f t="shared" ca="1" si="26"/>
        <v>8.203489161796254</v>
      </c>
      <c r="D175" s="21">
        <f t="shared" ca="1" si="31"/>
        <v>8.203489161796254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10.917314058694801</v>
      </c>
      <c r="C176" s="20">
        <f t="shared" ca="1" si="26"/>
        <v>6.4050430215979119</v>
      </c>
      <c r="D176" s="21">
        <f t="shared" ca="1" si="31"/>
        <v>6.4050430215979119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9.5125715095699075</v>
      </c>
      <c r="C177" s="20">
        <f t="shared" ca="1" si="26"/>
        <v>8.9489972866908172</v>
      </c>
      <c r="D177" s="21">
        <f t="shared" ca="1" si="31"/>
        <v>8.9489972866908172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11.949695559836305</v>
      </c>
      <c r="C178" s="20">
        <f t="shared" ca="1" si="26"/>
        <v>8.8057409972279856</v>
      </c>
      <c r="D178" s="21">
        <f t="shared" ca="1" si="31"/>
        <v>8.8057409972279856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14.701846959397212</v>
      </c>
      <c r="C179" s="20">
        <f t="shared" ca="1" si="26"/>
        <v>11.022062590694066</v>
      </c>
      <c r="D179" s="21">
        <f t="shared" ca="1" si="31"/>
        <v>11.022062590694066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8.4424544960881676</v>
      </c>
      <c r="C180" s="20">
        <f t="shared" ca="1" si="26"/>
        <v>12.932162593292919</v>
      </c>
      <c r="D180" s="21">
        <f t="shared" ca="1" si="31"/>
        <v>12.932162593292919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9.0311557792056103</v>
      </c>
      <c r="C181" s="20">
        <f t="shared" ca="1" si="26"/>
        <v>9.9795961181607176</v>
      </c>
      <c r="D181" s="21">
        <f t="shared" ca="1" si="31"/>
        <v>9.9795961181607176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12.775333987454339</v>
      </c>
      <c r="C182" s="20">
        <f t="shared" ca="1" si="26"/>
        <v>9.6305436496190229</v>
      </c>
      <c r="D182" s="21">
        <f t="shared" ca="1" si="31"/>
        <v>9.6305436496190229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7.3932140382666258</v>
      </c>
      <c r="C183" s="20">
        <f t="shared" ca="1" si="26"/>
        <v>12.570399659224453</v>
      </c>
      <c r="D183" s="21">
        <f t="shared" ca="1" si="31"/>
        <v>12.570399659224453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10.755132590381722</v>
      </c>
      <c r="C184" s="20">
        <f t="shared" ca="1" si="26"/>
        <v>3.8339290322343524</v>
      </c>
      <c r="D184" s="21">
        <f t="shared" ca="1" si="31"/>
        <v>3.8339290322343524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11.22350064716481</v>
      </c>
      <c r="C185" s="20">
        <f t="shared" ca="1" si="26"/>
        <v>7.966227550818747</v>
      </c>
      <c r="D185" s="21">
        <f t="shared" ca="1" si="31"/>
        <v>7.966227550818747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6.0785223844606673</v>
      </c>
      <c r="C186" s="20">
        <f t="shared" ca="1" si="26"/>
        <v>7.4829864151426291</v>
      </c>
      <c r="D186" s="21">
        <f t="shared" ca="1" si="31"/>
        <v>7.4829864151426291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10.591808278601038</v>
      </c>
      <c r="C187" s="20">
        <f t="shared" ca="1" si="26"/>
        <v>9.2783591912345891</v>
      </c>
      <c r="D187" s="21">
        <f t="shared" ca="1" si="31"/>
        <v>9.2783591912345891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12.707719769673277</v>
      </c>
      <c r="C188" s="20">
        <f t="shared" ca="1" si="26"/>
        <v>9.8250440927330871</v>
      </c>
      <c r="D188" s="21">
        <f t="shared" ca="1" si="31"/>
        <v>9.8250440927330871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11.909662074699039</v>
      </c>
      <c r="C189" s="20">
        <f t="shared" ca="1" si="26"/>
        <v>14.716882235795619</v>
      </c>
      <c r="D189" s="21">
        <f t="shared" ca="1" si="31"/>
        <v>14.716882235795619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11.111092097275566</v>
      </c>
      <c r="C190" s="20">
        <f t="shared" ca="1" si="26"/>
        <v>11.737365490978689</v>
      </c>
      <c r="D190" s="21">
        <f t="shared" ca="1" si="31"/>
        <v>11.737365490978689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11.373253022435838</v>
      </c>
      <c r="C191" s="20">
        <f t="shared" ca="1" si="26"/>
        <v>11.912807816983985</v>
      </c>
      <c r="D191" s="21">
        <f t="shared" ca="1" si="31"/>
        <v>11.912807816983985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13.843563564709552</v>
      </c>
      <c r="C192" s="20">
        <f t="shared" ca="1" si="26"/>
        <v>9.3099076137784369</v>
      </c>
      <c r="D192" s="21">
        <f t="shared" ref="D192:G211" ca="1" si="34">IF(AND(ISNUMBER($D$1),$F$1&gt;0,ISNUMBER(D$11),D$11&lt;=$H$1),_xlfn.NORM.INV(RAND(),$D$1,SQRT($F$1)),"")</f>
        <v>9.3099076137784369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10.152770395463106</v>
      </c>
      <c r="C193" s="20">
        <f t="shared" ca="1" si="26"/>
        <v>7.8601994559251009</v>
      </c>
      <c r="D193" s="21">
        <f t="shared" ca="1" si="34"/>
        <v>7.8601994559251009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8.3348921936003872</v>
      </c>
      <c r="C194" s="20">
        <f t="shared" ca="1" si="26"/>
        <v>9.8687489049885837</v>
      </c>
      <c r="D194" s="21">
        <f t="shared" ca="1" si="34"/>
        <v>9.8687489049885837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7.3299104812202938</v>
      </c>
      <c r="C195" s="20">
        <f t="shared" ca="1" si="26"/>
        <v>7.9657090787288558</v>
      </c>
      <c r="D195" s="21">
        <f t="shared" ca="1" si="34"/>
        <v>7.9657090787288558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13.078906982126089</v>
      </c>
      <c r="C196" s="20">
        <f t="shared" ca="1" si="26"/>
        <v>9.7548881092720663</v>
      </c>
      <c r="D196" s="21">
        <f t="shared" ca="1" si="34"/>
        <v>9.7548881092720663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10.65100138135006</v>
      </c>
      <c r="C197" s="20">
        <f t="shared" ca="1" si="26"/>
        <v>11.717858897941573</v>
      </c>
      <c r="D197" s="21">
        <f t="shared" ca="1" si="34"/>
        <v>11.717858897941573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13.768340065528333</v>
      </c>
      <c r="C198" s="20">
        <f t="shared" ca="1" si="26"/>
        <v>13.25599091004168</v>
      </c>
      <c r="D198" s="21">
        <f t="shared" ca="1" si="34"/>
        <v>13.25599091004168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8.8811238451388856</v>
      </c>
      <c r="C199" s="20">
        <f t="shared" ca="1" si="26"/>
        <v>9.4006173775433357</v>
      </c>
      <c r="D199" s="21">
        <f t="shared" ca="1" si="34"/>
        <v>9.4006173775433357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8.4470473304259031</v>
      </c>
      <c r="C200" s="20">
        <f t="shared" ca="1" si="26"/>
        <v>12.215952655317075</v>
      </c>
      <c r="D200" s="21">
        <f t="shared" ca="1" si="34"/>
        <v>12.215952655317075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11.086203480339353</v>
      </c>
      <c r="C201" s="20">
        <f t="shared" ca="1" si="26"/>
        <v>11.595920164653171</v>
      </c>
      <c r="D201" s="21">
        <f t="shared" ca="1" si="34"/>
        <v>11.595920164653171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10.652121024940232</v>
      </c>
      <c r="C202" s="20">
        <f t="shared" ca="1" si="26"/>
        <v>8.7059912874666807</v>
      </c>
      <c r="D202" s="21">
        <f t="shared" ca="1" si="34"/>
        <v>8.7059912874666807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10.432749255637013</v>
      </c>
      <c r="C203" s="20">
        <f t="shared" ca="1" si="26"/>
        <v>8.10640375687756</v>
      </c>
      <c r="D203" s="21">
        <f t="shared" ca="1" si="34"/>
        <v>8.10640375687756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10.965947755150944</v>
      </c>
      <c r="C204" s="20">
        <f t="shared" ca="1" si="26"/>
        <v>10.069479042484538</v>
      </c>
      <c r="D204" s="21">
        <f t="shared" ca="1" si="34"/>
        <v>10.069479042484538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9.5991260692720601</v>
      </c>
      <c r="C205" s="20">
        <f t="shared" ref="C205:C268" ca="1" si="38">IF(AND($H$1&gt;=1,ISNUMBER(D205)),AVERAGE(D205:W205),"")</f>
        <v>12.782276336204523</v>
      </c>
      <c r="D205" s="21">
        <f t="shared" ca="1" si="34"/>
        <v>12.782276336204523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11.163966478676292</v>
      </c>
      <c r="C206" s="20">
        <f t="shared" ca="1" si="38"/>
        <v>8.9574301298617733</v>
      </c>
      <c r="D206" s="21">
        <f t="shared" ca="1" si="34"/>
        <v>8.9574301298617733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9.4702193131659556</v>
      </c>
      <c r="C207" s="20">
        <f t="shared" ca="1" si="38"/>
        <v>8.6846727353564486</v>
      </c>
      <c r="D207" s="21">
        <f t="shared" ca="1" si="34"/>
        <v>8.6846727353564486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5.9832629276214551</v>
      </c>
      <c r="C208" s="20">
        <f t="shared" ca="1" si="38"/>
        <v>7.7521094677279851</v>
      </c>
      <c r="D208" s="21">
        <f t="shared" ca="1" si="34"/>
        <v>7.7521094677279851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12.196724939147767</v>
      </c>
      <c r="C209" s="20">
        <f t="shared" ca="1" si="38"/>
        <v>9.7212804174675966</v>
      </c>
      <c r="D209" s="21">
        <f t="shared" ca="1" si="34"/>
        <v>9.7212804174675966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9.4726247664070637</v>
      </c>
      <c r="C210" s="20">
        <f t="shared" ca="1" si="38"/>
        <v>6.3428592191939135</v>
      </c>
      <c r="D210" s="21">
        <f t="shared" ca="1" si="34"/>
        <v>6.3428592191939135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12.027016536108794</v>
      </c>
      <c r="C211" s="20">
        <f t="shared" ca="1" si="38"/>
        <v>11.910603067181967</v>
      </c>
      <c r="D211" s="21">
        <f t="shared" ca="1" si="34"/>
        <v>11.910603067181967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11.440572799007855</v>
      </c>
      <c r="C212" s="20">
        <f t="shared" ca="1" si="38"/>
        <v>10.569974981592779</v>
      </c>
      <c r="D212" s="21">
        <f t="shared" ref="D212:G231" ca="1" si="39">IF(AND(ISNUMBER($D$1),$F$1&gt;0,ISNUMBER(D$11),D$11&lt;=$H$1),_xlfn.NORM.INV(RAND(),$D$1,SQRT($F$1)),"")</f>
        <v>10.569974981592779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14.451826489483127</v>
      </c>
      <c r="C213" s="20">
        <f t="shared" ca="1" si="38"/>
        <v>10.090097340811345</v>
      </c>
      <c r="D213" s="21">
        <f t="shared" ca="1" si="39"/>
        <v>10.090097340811345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8.1660592799082856</v>
      </c>
      <c r="C214" s="20">
        <f t="shared" ca="1" si="38"/>
        <v>9.8445653226872789</v>
      </c>
      <c r="D214" s="21">
        <f t="shared" ca="1" si="39"/>
        <v>9.8445653226872789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11.731997480389243</v>
      </c>
      <c r="C215" s="20">
        <f t="shared" ca="1" si="38"/>
        <v>9.9005220100819713</v>
      </c>
      <c r="D215" s="21">
        <f t="shared" ca="1" si="39"/>
        <v>9.9005220100819713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13.864511970144903</v>
      </c>
      <c r="C216" s="20">
        <f t="shared" ca="1" si="38"/>
        <v>12.427636165103261</v>
      </c>
      <c r="D216" s="21">
        <f t="shared" ca="1" si="39"/>
        <v>12.427636165103261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10.130126900279993</v>
      </c>
      <c r="C217" s="20">
        <f t="shared" ca="1" si="38"/>
        <v>8.7503643462336491</v>
      </c>
      <c r="D217" s="21">
        <f t="shared" ca="1" si="39"/>
        <v>8.7503643462336491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10.210714609933587</v>
      </c>
      <c r="C218" s="20">
        <f t="shared" ca="1" si="38"/>
        <v>10.348661267395459</v>
      </c>
      <c r="D218" s="21">
        <f t="shared" ca="1" si="39"/>
        <v>10.348661267395459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12.053796546735001</v>
      </c>
      <c r="C219" s="20">
        <f t="shared" ca="1" si="38"/>
        <v>12.273579371953181</v>
      </c>
      <c r="D219" s="21">
        <f t="shared" ca="1" si="39"/>
        <v>12.273579371953181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7.2130841663877137</v>
      </c>
      <c r="C220" s="20">
        <f t="shared" ca="1" si="38"/>
        <v>5.7614211575444481</v>
      </c>
      <c r="D220" s="21">
        <f t="shared" ca="1" si="39"/>
        <v>5.7614211575444481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9.8007835191696895</v>
      </c>
      <c r="C221" s="20">
        <f t="shared" ca="1" si="38"/>
        <v>9.408921982554137</v>
      </c>
      <c r="D221" s="21">
        <f t="shared" ca="1" si="39"/>
        <v>9.408921982554137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12.158774415439574</v>
      </c>
      <c r="C222" s="20">
        <f t="shared" ca="1" si="38"/>
        <v>12.329975436603366</v>
      </c>
      <c r="D222" s="21">
        <f t="shared" ca="1" si="39"/>
        <v>12.329975436603366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11.559947040892059</v>
      </c>
      <c r="C223" s="20">
        <f t="shared" ca="1" si="38"/>
        <v>10.100143607005478</v>
      </c>
      <c r="D223" s="21">
        <f t="shared" ca="1" si="39"/>
        <v>10.100143607005478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11.041715185496807</v>
      </c>
      <c r="C224" s="20">
        <f t="shared" ca="1" si="38"/>
        <v>10.436657057535649</v>
      </c>
      <c r="D224" s="21">
        <f t="shared" ca="1" si="39"/>
        <v>10.436657057535649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6.9229204200167622</v>
      </c>
      <c r="C225" s="20">
        <f t="shared" ca="1" si="38"/>
        <v>7.9334367738272675</v>
      </c>
      <c r="D225" s="21">
        <f t="shared" ca="1" si="39"/>
        <v>7.9334367738272675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8.2245827953010338</v>
      </c>
      <c r="C226" s="20">
        <f t="shared" ca="1" si="38"/>
        <v>6.4273069943566794</v>
      </c>
      <c r="D226" s="21">
        <f t="shared" ca="1" si="39"/>
        <v>6.4273069943566794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7.9541103372929554</v>
      </c>
      <c r="C227" s="20">
        <f t="shared" ca="1" si="38"/>
        <v>10.268245434763815</v>
      </c>
      <c r="D227" s="21">
        <f t="shared" ca="1" si="39"/>
        <v>10.268245434763815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8.6916760136537192</v>
      </c>
      <c r="C228" s="20">
        <f t="shared" ca="1" si="38"/>
        <v>6.5084659071000672</v>
      </c>
      <c r="D228" s="21">
        <f t="shared" ca="1" si="39"/>
        <v>6.5084659071000672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11.583415016412221</v>
      </c>
      <c r="C229" s="20">
        <f t="shared" ca="1" si="38"/>
        <v>10.407237017683816</v>
      </c>
      <c r="D229" s="21">
        <f t="shared" ca="1" si="39"/>
        <v>10.407237017683816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9.8715902770933681</v>
      </c>
      <c r="C230" s="20">
        <f t="shared" ca="1" si="38"/>
        <v>11.200467046114099</v>
      </c>
      <c r="D230" s="21">
        <f t="shared" ca="1" si="39"/>
        <v>11.200467046114099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8.959776451899593</v>
      </c>
      <c r="C231" s="20">
        <f t="shared" ca="1" si="38"/>
        <v>11.631003883619737</v>
      </c>
      <c r="D231" s="21">
        <f t="shared" ca="1" si="39"/>
        <v>11.631003883619737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10.825262265108364</v>
      </c>
      <c r="C232" s="20">
        <f t="shared" ca="1" si="38"/>
        <v>9.5700555693825127</v>
      </c>
      <c r="D232" s="21">
        <f t="shared" ref="D232:G251" ca="1" si="42">IF(AND(ISNUMBER($D$1),$F$1&gt;0,ISNUMBER(D$11),D$11&lt;=$H$1),_xlfn.NORM.INV(RAND(),$D$1,SQRT($F$1)),"")</f>
        <v>9.5700555693825127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9.6200286687648227</v>
      </c>
      <c r="C233" s="20">
        <f t="shared" ca="1" si="38"/>
        <v>7.2457072563590073</v>
      </c>
      <c r="D233" s="21">
        <f t="shared" ca="1" si="42"/>
        <v>7.2457072563590073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10.38853270329705</v>
      </c>
      <c r="C234" s="20">
        <f t="shared" ca="1" si="38"/>
        <v>9.796572411132793</v>
      </c>
      <c r="D234" s="21">
        <f t="shared" ca="1" si="42"/>
        <v>9.796572411132793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15.514902365658333</v>
      </c>
      <c r="C235" s="20">
        <f t="shared" ca="1" si="38"/>
        <v>9.1542145811053022</v>
      </c>
      <c r="D235" s="21">
        <f t="shared" ca="1" si="42"/>
        <v>9.1542145811053022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13.157408155716285</v>
      </c>
      <c r="C236" s="20">
        <f t="shared" ca="1" si="38"/>
        <v>9.4264752567663308</v>
      </c>
      <c r="D236" s="21">
        <f t="shared" ca="1" si="42"/>
        <v>9.4264752567663308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7.9104809210138596</v>
      </c>
      <c r="C237" s="20">
        <f t="shared" ca="1" si="38"/>
        <v>15.067736065591852</v>
      </c>
      <c r="D237" s="21">
        <f t="shared" ca="1" si="42"/>
        <v>15.067736065591852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9.4145713015445534</v>
      </c>
      <c r="C238" s="20">
        <f t="shared" ca="1" si="38"/>
        <v>9.2436048526887706</v>
      </c>
      <c r="D238" s="21">
        <f t="shared" ca="1" si="42"/>
        <v>9.2436048526887706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7.6532268098549947</v>
      </c>
      <c r="C239" s="20">
        <f t="shared" ca="1" si="38"/>
        <v>9.1289752952951382</v>
      </c>
      <c r="D239" s="21">
        <f t="shared" ca="1" si="42"/>
        <v>9.1289752952951382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13.584541690016595</v>
      </c>
      <c r="C240" s="20">
        <f t="shared" ca="1" si="38"/>
        <v>8.2016319964533135</v>
      </c>
      <c r="D240" s="21">
        <f t="shared" ca="1" si="42"/>
        <v>8.2016319964533135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12.541307040146288</v>
      </c>
      <c r="C241" s="20">
        <f t="shared" ca="1" si="38"/>
        <v>4.5096440032638876</v>
      </c>
      <c r="D241" s="21">
        <f t="shared" ca="1" si="42"/>
        <v>4.5096440032638876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11.996738677209791</v>
      </c>
      <c r="C242" s="20">
        <f t="shared" ca="1" si="38"/>
        <v>13.083014999448338</v>
      </c>
      <c r="D242" s="21">
        <f t="shared" ca="1" si="42"/>
        <v>13.083014999448338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9.6073567508154518</v>
      </c>
      <c r="C243" s="20">
        <f t="shared" ca="1" si="38"/>
        <v>10.996241803774716</v>
      </c>
      <c r="D243" s="21">
        <f t="shared" ca="1" si="42"/>
        <v>10.996241803774716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10.769226521514504</v>
      </c>
      <c r="C244" s="20">
        <f t="shared" ca="1" si="38"/>
        <v>9.7904262019671027</v>
      </c>
      <c r="D244" s="21">
        <f t="shared" ca="1" si="42"/>
        <v>9.7904262019671027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7.8412180911452349</v>
      </c>
      <c r="C245" s="20">
        <f t="shared" ca="1" si="38"/>
        <v>6.6273823772106564</v>
      </c>
      <c r="D245" s="21">
        <f t="shared" ca="1" si="42"/>
        <v>6.6273823772106564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8.4242029081151628</v>
      </c>
      <c r="C246" s="20">
        <f t="shared" ca="1" si="38"/>
        <v>8.8108746490073635</v>
      </c>
      <c r="D246" s="21">
        <f t="shared" ca="1" si="42"/>
        <v>8.8108746490073635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5.9083554843130512</v>
      </c>
      <c r="C247" s="20">
        <f t="shared" ca="1" si="38"/>
        <v>10.172002628551079</v>
      </c>
      <c r="D247" s="21">
        <f t="shared" ca="1" si="42"/>
        <v>10.172002628551079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9.0110787702763595</v>
      </c>
      <c r="C248" s="20">
        <f t="shared" ca="1" si="38"/>
        <v>12.10535675637373</v>
      </c>
      <c r="D248" s="21">
        <f t="shared" ca="1" si="42"/>
        <v>12.10535675637373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12.895704361400696</v>
      </c>
      <c r="C249" s="20">
        <f t="shared" ca="1" si="38"/>
        <v>12.384931763435789</v>
      </c>
      <c r="D249" s="21">
        <f t="shared" ca="1" si="42"/>
        <v>12.384931763435789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8.2676139496884034</v>
      </c>
      <c r="C250" s="20">
        <f t="shared" ca="1" si="38"/>
        <v>12.137357386637014</v>
      </c>
      <c r="D250" s="21">
        <f t="shared" ca="1" si="42"/>
        <v>12.137357386637014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11.44496788377387</v>
      </c>
      <c r="C251" s="20">
        <f t="shared" ca="1" si="38"/>
        <v>10.298073516925665</v>
      </c>
      <c r="D251" s="21">
        <f t="shared" ca="1" si="42"/>
        <v>10.298073516925665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10.469603467388202</v>
      </c>
      <c r="C252" s="20">
        <f t="shared" ca="1" si="38"/>
        <v>9.3578249274198662</v>
      </c>
      <c r="D252" s="21">
        <f t="shared" ref="D252:G271" ca="1" si="45">IF(AND(ISNUMBER($D$1),$F$1&gt;0,ISNUMBER(D$11),D$11&lt;=$H$1),_xlfn.NORM.INV(RAND(),$D$1,SQRT($F$1)),"")</f>
        <v>9.3578249274198662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10.941585179899505</v>
      </c>
      <c r="C253" s="20">
        <f t="shared" ca="1" si="38"/>
        <v>9.5763523496941332</v>
      </c>
      <c r="D253" s="21">
        <f t="shared" ca="1" si="45"/>
        <v>9.5763523496941332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9.2077176279930448</v>
      </c>
      <c r="C254" s="20">
        <f t="shared" ca="1" si="38"/>
        <v>12.397800977901648</v>
      </c>
      <c r="D254" s="21">
        <f t="shared" ca="1" si="45"/>
        <v>12.397800977901648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12.944783831881351</v>
      </c>
      <c r="C255" s="20">
        <f t="shared" ca="1" si="38"/>
        <v>8.9659012659216639</v>
      </c>
      <c r="D255" s="21">
        <f t="shared" ca="1" si="45"/>
        <v>8.9659012659216639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8.9200073407526155</v>
      </c>
      <c r="C256" s="20">
        <f t="shared" ca="1" si="38"/>
        <v>7.9308019060657928</v>
      </c>
      <c r="D256" s="21">
        <f t="shared" ca="1" si="45"/>
        <v>7.9308019060657928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10.948726555911172</v>
      </c>
      <c r="C257" s="20">
        <f t="shared" ca="1" si="38"/>
        <v>12.600165082317435</v>
      </c>
      <c r="D257" s="21">
        <f t="shared" ca="1" si="45"/>
        <v>12.600165082317435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10.835422410563954</v>
      </c>
      <c r="C258" s="20">
        <f t="shared" ca="1" si="38"/>
        <v>7.943099964113248</v>
      </c>
      <c r="D258" s="21">
        <f t="shared" ca="1" si="45"/>
        <v>7.943099964113248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11.059159271466859</v>
      </c>
      <c r="C259" s="20">
        <f t="shared" ca="1" si="38"/>
        <v>9.1053237554511224</v>
      </c>
      <c r="D259" s="21">
        <f t="shared" ca="1" si="45"/>
        <v>9.1053237554511224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10.554306519942793</v>
      </c>
      <c r="C260" s="20">
        <f t="shared" ca="1" si="38"/>
        <v>8.9027188291598485</v>
      </c>
      <c r="D260" s="21">
        <f t="shared" ca="1" si="45"/>
        <v>8.9027188291598485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11.2815173019263</v>
      </c>
      <c r="C261" s="20">
        <f t="shared" ca="1" si="38"/>
        <v>11.162390904107564</v>
      </c>
      <c r="D261" s="21">
        <f t="shared" ca="1" si="45"/>
        <v>11.162390904107564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7.8613021849299329</v>
      </c>
      <c r="C262" s="20">
        <f t="shared" ca="1" si="38"/>
        <v>9.0872303957071274</v>
      </c>
      <c r="D262" s="21">
        <f t="shared" ca="1" si="45"/>
        <v>9.0872303957071274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8.5896119618141</v>
      </c>
      <c r="C263" s="20">
        <f t="shared" ca="1" si="38"/>
        <v>11.464521467828021</v>
      </c>
      <c r="D263" s="21">
        <f t="shared" ca="1" si="45"/>
        <v>11.464521467828021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7.4711967721802397</v>
      </c>
      <c r="C264" s="20">
        <f t="shared" ca="1" si="38"/>
        <v>10.925120476007271</v>
      </c>
      <c r="D264" s="21">
        <f t="shared" ca="1" si="45"/>
        <v>10.925120476007271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7.5563937925854869</v>
      </c>
      <c r="C265" s="20">
        <f t="shared" ca="1" si="38"/>
        <v>9.4194788949691297</v>
      </c>
      <c r="D265" s="21">
        <f t="shared" ca="1" si="45"/>
        <v>9.4194788949691297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10.875149440807428</v>
      </c>
      <c r="C266" s="20">
        <f t="shared" ca="1" si="38"/>
        <v>11.356200361203047</v>
      </c>
      <c r="D266" s="21">
        <f t="shared" ca="1" si="45"/>
        <v>11.356200361203047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10.569913753905197</v>
      </c>
      <c r="C267" s="20">
        <f t="shared" ca="1" si="38"/>
        <v>8.1276205913418043</v>
      </c>
      <c r="D267" s="21">
        <f t="shared" ca="1" si="45"/>
        <v>8.1276205913418043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9.7478025395042636</v>
      </c>
      <c r="C268" s="20">
        <f t="shared" ca="1" si="38"/>
        <v>8.4850383011446304</v>
      </c>
      <c r="D268" s="21">
        <f t="shared" ca="1" si="45"/>
        <v>8.4850383011446304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8.9355189064571015</v>
      </c>
      <c r="C269" s="20">
        <f t="shared" ref="C269:C332" ca="1" si="49">IF(AND($H$1&gt;=1,ISNUMBER(D269)),AVERAGE(D269:W269),"")</f>
        <v>11.07935523861093</v>
      </c>
      <c r="D269" s="21">
        <f t="shared" ca="1" si="45"/>
        <v>11.07935523861093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9.872256354828151</v>
      </c>
      <c r="C270" s="20">
        <f t="shared" ca="1" si="49"/>
        <v>9.9838437750723763</v>
      </c>
      <c r="D270" s="21">
        <f t="shared" ca="1" si="45"/>
        <v>9.9838437750723763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13.40861629322789</v>
      </c>
      <c r="C271" s="20">
        <f t="shared" ca="1" si="49"/>
        <v>9.4658163640484858</v>
      </c>
      <c r="D271" s="21">
        <f t="shared" ca="1" si="45"/>
        <v>9.4658163640484858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8.9854790677006058</v>
      </c>
      <c r="C272" s="20">
        <f t="shared" ca="1" si="49"/>
        <v>8.1316496716456061</v>
      </c>
      <c r="D272" s="21">
        <f t="shared" ref="D272:G291" ca="1" si="50">IF(AND(ISNUMBER($D$1),$F$1&gt;0,ISNUMBER(D$11),D$11&lt;=$H$1),_xlfn.NORM.INV(RAND(),$D$1,SQRT($F$1)),"")</f>
        <v>8.1316496716456061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12.918293291086991</v>
      </c>
      <c r="C273" s="20">
        <f t="shared" ca="1" si="49"/>
        <v>8.5700916039696455</v>
      </c>
      <c r="D273" s="21">
        <f t="shared" ca="1" si="50"/>
        <v>8.5700916039696455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11.798754429119976</v>
      </c>
      <c r="C274" s="20">
        <f t="shared" ca="1" si="49"/>
        <v>6.321925822434876</v>
      </c>
      <c r="D274" s="21">
        <f t="shared" ca="1" si="50"/>
        <v>6.321925822434876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10.23779991321633</v>
      </c>
      <c r="C275" s="20">
        <f t="shared" ca="1" si="49"/>
        <v>12.348369682025291</v>
      </c>
      <c r="D275" s="21">
        <f t="shared" ca="1" si="50"/>
        <v>12.348369682025291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9.9398299966234163</v>
      </c>
      <c r="C276" s="20">
        <f t="shared" ca="1" si="49"/>
        <v>10.032422782998131</v>
      </c>
      <c r="D276" s="21">
        <f t="shared" ca="1" si="50"/>
        <v>10.032422782998131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16.121794312474108</v>
      </c>
      <c r="C277" s="20">
        <f t="shared" ca="1" si="49"/>
        <v>13.187685879704684</v>
      </c>
      <c r="D277" s="21">
        <f t="shared" ca="1" si="50"/>
        <v>13.187685879704684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11.171948158341674</v>
      </c>
      <c r="C278" s="20">
        <f t="shared" ca="1" si="49"/>
        <v>9.0352666941536821</v>
      </c>
      <c r="D278" s="21">
        <f t="shared" ca="1" si="50"/>
        <v>9.0352666941536821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10.77883384584046</v>
      </c>
      <c r="C279" s="20">
        <f t="shared" ca="1" si="49"/>
        <v>11.796134829792196</v>
      </c>
      <c r="D279" s="21">
        <f t="shared" ca="1" si="50"/>
        <v>11.796134829792196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10.450157473919637</v>
      </c>
      <c r="C280" s="20">
        <f t="shared" ca="1" si="49"/>
        <v>11.4931775361721</v>
      </c>
      <c r="D280" s="21">
        <f t="shared" ca="1" si="50"/>
        <v>11.4931775361721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9.6864793218006309</v>
      </c>
      <c r="C281" s="20">
        <f t="shared" ca="1" si="49"/>
        <v>8.1318780668699251</v>
      </c>
      <c r="D281" s="21">
        <f t="shared" ca="1" si="50"/>
        <v>8.1318780668699251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10.773483279505941</v>
      </c>
      <c r="C282" s="20">
        <f t="shared" ca="1" si="49"/>
        <v>10.626198085623642</v>
      </c>
      <c r="D282" s="21">
        <f t="shared" ca="1" si="50"/>
        <v>10.626198085623642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7.5323921728985468</v>
      </c>
      <c r="C283" s="20">
        <f t="shared" ca="1" si="49"/>
        <v>7.7675827949343823</v>
      </c>
      <c r="D283" s="21">
        <f t="shared" ca="1" si="50"/>
        <v>7.7675827949343823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12.597262162158703</v>
      </c>
      <c r="C284" s="20">
        <f t="shared" ca="1" si="49"/>
        <v>9.0762174147723602</v>
      </c>
      <c r="D284" s="21">
        <f t="shared" ca="1" si="50"/>
        <v>9.0762174147723602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10.178126106879748</v>
      </c>
      <c r="C285" s="20">
        <f t="shared" ca="1" si="49"/>
        <v>11.932191011568703</v>
      </c>
      <c r="D285" s="21">
        <f t="shared" ca="1" si="50"/>
        <v>11.932191011568703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10.125104763140824</v>
      </c>
      <c r="C286" s="20">
        <f t="shared" ca="1" si="49"/>
        <v>10.342836323049605</v>
      </c>
      <c r="D286" s="21">
        <f t="shared" ca="1" si="50"/>
        <v>10.342836323049605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9.9589760869053006</v>
      </c>
      <c r="C287" s="20">
        <f t="shared" ca="1" si="49"/>
        <v>9.8497721987777052</v>
      </c>
      <c r="D287" s="21">
        <f t="shared" ca="1" si="50"/>
        <v>9.8497721987777052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11.884296892942446</v>
      </c>
      <c r="C288" s="20">
        <f t="shared" ca="1" si="49"/>
        <v>11.82634742694899</v>
      </c>
      <c r="D288" s="21">
        <f t="shared" ca="1" si="50"/>
        <v>11.82634742694899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8.0665788205346001</v>
      </c>
      <c r="C289" s="20">
        <f t="shared" ca="1" si="49"/>
        <v>10.194482557065454</v>
      </c>
      <c r="D289" s="21">
        <f t="shared" ca="1" si="50"/>
        <v>10.194482557065454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10.508092469180111</v>
      </c>
      <c r="C290" s="20">
        <f t="shared" ca="1" si="49"/>
        <v>9.0584021121039608</v>
      </c>
      <c r="D290" s="21">
        <f t="shared" ca="1" si="50"/>
        <v>9.0584021121039608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9.0545836898048009</v>
      </c>
      <c r="C291" s="20">
        <f t="shared" ca="1" si="49"/>
        <v>11.156470726749411</v>
      </c>
      <c r="D291" s="21">
        <f t="shared" ca="1" si="50"/>
        <v>11.156470726749411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10.940929691440822</v>
      </c>
      <c r="C292" s="20">
        <f t="shared" ca="1" si="49"/>
        <v>12.354018264254661</v>
      </c>
      <c r="D292" s="21">
        <f t="shared" ref="D292:G311" ca="1" si="53">IF(AND(ISNUMBER($D$1),$F$1&gt;0,ISNUMBER(D$11),D$11&lt;=$H$1),_xlfn.NORM.INV(RAND(),$D$1,SQRT($F$1)),"")</f>
        <v>12.354018264254661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8.7584879402781386</v>
      </c>
      <c r="C293" s="20">
        <f t="shared" ca="1" si="49"/>
        <v>12.028416653523852</v>
      </c>
      <c r="D293" s="21">
        <f t="shared" ca="1" si="53"/>
        <v>12.028416653523852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12.729361775943547</v>
      </c>
      <c r="C294" s="20">
        <f t="shared" ca="1" si="49"/>
        <v>6.629934765711706</v>
      </c>
      <c r="D294" s="21">
        <f t="shared" ca="1" si="53"/>
        <v>6.629934765711706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12.514118988136085</v>
      </c>
      <c r="C295" s="20">
        <f t="shared" ca="1" si="49"/>
        <v>11.055611337699078</v>
      </c>
      <c r="D295" s="21">
        <f t="shared" ca="1" si="53"/>
        <v>11.055611337699078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9.3064465554745652</v>
      </c>
      <c r="C296" s="20">
        <f t="shared" ca="1" si="49"/>
        <v>12.629728582756334</v>
      </c>
      <c r="D296" s="21">
        <f t="shared" ca="1" si="53"/>
        <v>12.629728582756334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6.3181079142387837</v>
      </c>
      <c r="C297" s="20">
        <f t="shared" ca="1" si="49"/>
        <v>12.073283461662983</v>
      </c>
      <c r="D297" s="21">
        <f t="shared" ca="1" si="53"/>
        <v>12.073283461662983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8.0486129798481283</v>
      </c>
      <c r="C298" s="20">
        <f t="shared" ca="1" si="49"/>
        <v>11.825516415612633</v>
      </c>
      <c r="D298" s="21">
        <f t="shared" ca="1" si="53"/>
        <v>11.825516415612633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10.371034380055944</v>
      </c>
      <c r="C299" s="20">
        <f t="shared" ca="1" si="49"/>
        <v>10.408602636309476</v>
      </c>
      <c r="D299" s="21">
        <f t="shared" ca="1" si="53"/>
        <v>10.408602636309476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11.576925131625622</v>
      </c>
      <c r="C300" s="20">
        <f t="shared" ca="1" si="49"/>
        <v>9.9039567303418128</v>
      </c>
      <c r="D300" s="21">
        <f t="shared" ca="1" si="53"/>
        <v>9.9039567303418128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7.8996066573214243</v>
      </c>
      <c r="C301" s="20">
        <f t="shared" ca="1" si="49"/>
        <v>9.066921595419462</v>
      </c>
      <c r="D301" s="21">
        <f t="shared" ca="1" si="53"/>
        <v>9.066921595419462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10.288141813073851</v>
      </c>
      <c r="C302" s="20">
        <f t="shared" ca="1" si="49"/>
        <v>7.7995316499537655</v>
      </c>
      <c r="D302" s="21">
        <f t="shared" ca="1" si="53"/>
        <v>7.7995316499537655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12.498431813017818</v>
      </c>
      <c r="C303" s="20">
        <f t="shared" ca="1" si="49"/>
        <v>11.820297565138217</v>
      </c>
      <c r="D303" s="21">
        <f t="shared" ca="1" si="53"/>
        <v>11.820297565138217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11.165227271126613</v>
      </c>
      <c r="C304" s="20">
        <f t="shared" ca="1" si="49"/>
        <v>8.8127509289990797</v>
      </c>
      <c r="D304" s="21">
        <f t="shared" ca="1" si="53"/>
        <v>8.8127509289990797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8.1500212249277926</v>
      </c>
      <c r="C305" s="20">
        <f t="shared" ca="1" si="49"/>
        <v>9.7081397419939215</v>
      </c>
      <c r="D305" s="21">
        <f t="shared" ca="1" si="53"/>
        <v>9.7081397419939215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10.371116132091462</v>
      </c>
      <c r="C306" s="20">
        <f t="shared" ca="1" si="49"/>
        <v>9.3367602834720707</v>
      </c>
      <c r="D306" s="21">
        <f t="shared" ca="1" si="53"/>
        <v>9.3367602834720707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11.348326869815276</v>
      </c>
      <c r="C307" s="20">
        <f t="shared" ca="1" si="49"/>
        <v>9.1019997746693395</v>
      </c>
      <c r="D307" s="21">
        <f t="shared" ca="1" si="53"/>
        <v>9.1019997746693395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8.8234043466694949</v>
      </c>
      <c r="C308" s="20">
        <f t="shared" ca="1" si="49"/>
        <v>10.878586491482812</v>
      </c>
      <c r="D308" s="21">
        <f t="shared" ca="1" si="53"/>
        <v>10.878586491482812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8.4069613283111231</v>
      </c>
      <c r="C309" s="20">
        <f t="shared" ca="1" si="49"/>
        <v>6.9957205782404666</v>
      </c>
      <c r="D309" s="21">
        <f t="shared" ca="1" si="53"/>
        <v>6.9957205782404666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9.3084447177842335</v>
      </c>
      <c r="C310" s="20">
        <f t="shared" ca="1" si="49"/>
        <v>11.319305347548376</v>
      </c>
      <c r="D310" s="21">
        <f t="shared" ca="1" si="53"/>
        <v>11.319305347548376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9.5915163873860685</v>
      </c>
      <c r="C311" s="20">
        <f t="shared" ca="1" si="49"/>
        <v>9.3748820486684323</v>
      </c>
      <c r="D311" s="21">
        <f t="shared" ca="1" si="53"/>
        <v>9.3748820486684323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8.4319776666590496</v>
      </c>
      <c r="C312" s="20">
        <f t="shared" ca="1" si="49"/>
        <v>9.3206771746876207</v>
      </c>
      <c r="D312" s="21">
        <f t="shared" ref="D312:G331" ca="1" si="56">IF(AND(ISNUMBER($D$1),$F$1&gt;0,ISNUMBER(D$11),D$11&lt;=$H$1),_xlfn.NORM.INV(RAND(),$D$1,SQRT($F$1)),"")</f>
        <v>9.3206771746876207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7.3732267459857717</v>
      </c>
      <c r="C313" s="20">
        <f t="shared" ca="1" si="49"/>
        <v>9.1912951758926997</v>
      </c>
      <c r="D313" s="21">
        <f t="shared" ca="1" si="56"/>
        <v>9.1912951758926997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10.033764122127812</v>
      </c>
      <c r="C314" s="20">
        <f t="shared" ca="1" si="49"/>
        <v>10.094051817390202</v>
      </c>
      <c r="D314" s="21">
        <f t="shared" ca="1" si="56"/>
        <v>10.094051817390202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9.7584648762296542</v>
      </c>
      <c r="C315" s="20">
        <f t="shared" ca="1" si="49"/>
        <v>12.340146720832728</v>
      </c>
      <c r="D315" s="21">
        <f t="shared" ca="1" si="56"/>
        <v>12.340146720832728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7.9317075201151699</v>
      </c>
      <c r="C316" s="20">
        <f t="shared" ca="1" si="49"/>
        <v>10.393858026209479</v>
      </c>
      <c r="D316" s="21">
        <f t="shared" ca="1" si="56"/>
        <v>10.393858026209479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9.256708572539786</v>
      </c>
      <c r="C317" s="20">
        <f t="shared" ca="1" si="49"/>
        <v>8.9546619322587482</v>
      </c>
      <c r="D317" s="21">
        <f t="shared" ca="1" si="56"/>
        <v>8.9546619322587482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8.6380645410752575</v>
      </c>
      <c r="C318" s="20">
        <f t="shared" ca="1" si="49"/>
        <v>12.324134678715867</v>
      </c>
      <c r="D318" s="21">
        <f t="shared" ca="1" si="56"/>
        <v>12.324134678715867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10.261306515478108</v>
      </c>
      <c r="C319" s="20">
        <f t="shared" ca="1" si="49"/>
        <v>10.427812598175185</v>
      </c>
      <c r="D319" s="21">
        <f t="shared" ca="1" si="56"/>
        <v>10.427812598175185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9.3503249926081384</v>
      </c>
      <c r="C320" s="20">
        <f t="shared" ca="1" si="49"/>
        <v>7.7963013845283546</v>
      </c>
      <c r="D320" s="21">
        <f t="shared" ca="1" si="56"/>
        <v>7.7963013845283546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9.266014537125189</v>
      </c>
      <c r="C321" s="20">
        <f t="shared" ca="1" si="49"/>
        <v>13.686181789523539</v>
      </c>
      <c r="D321" s="21">
        <f t="shared" ca="1" si="56"/>
        <v>13.686181789523539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11.154877448033597</v>
      </c>
      <c r="C322" s="20">
        <f t="shared" ca="1" si="49"/>
        <v>9.2275879506138754</v>
      </c>
      <c r="D322" s="21">
        <f t="shared" ca="1" si="56"/>
        <v>9.2275879506138754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10.488102169667409</v>
      </c>
      <c r="C323" s="20">
        <f t="shared" ca="1" si="49"/>
        <v>10.038376349056442</v>
      </c>
      <c r="D323" s="21">
        <f t="shared" ca="1" si="56"/>
        <v>10.038376349056442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10.089460364413114</v>
      </c>
      <c r="C324" s="20">
        <f t="shared" ca="1" si="49"/>
        <v>10.108924624685786</v>
      </c>
      <c r="D324" s="21">
        <f t="shared" ca="1" si="56"/>
        <v>10.108924624685786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9.7386952631379344</v>
      </c>
      <c r="C325" s="20">
        <f t="shared" ca="1" si="49"/>
        <v>10.132832108757817</v>
      </c>
      <c r="D325" s="21">
        <f t="shared" ca="1" si="56"/>
        <v>10.132832108757817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8.4606127616556801</v>
      </c>
      <c r="C326" s="20">
        <f t="shared" ca="1" si="49"/>
        <v>9.2844193158749793</v>
      </c>
      <c r="D326" s="21">
        <f t="shared" ca="1" si="56"/>
        <v>9.2844193158749793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8.6237751852481459</v>
      </c>
      <c r="C327" s="20">
        <f t="shared" ca="1" si="49"/>
        <v>6.7241521246400211</v>
      </c>
      <c r="D327" s="21">
        <f t="shared" ca="1" si="56"/>
        <v>6.7241521246400211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11.637165842258081</v>
      </c>
      <c r="C328" s="20">
        <f t="shared" ca="1" si="49"/>
        <v>10.152684126969326</v>
      </c>
      <c r="D328" s="21">
        <f t="shared" ca="1" si="56"/>
        <v>10.152684126969326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12.006682132382153</v>
      </c>
      <c r="C329" s="20">
        <f t="shared" ca="1" si="49"/>
        <v>11.86356895393966</v>
      </c>
      <c r="D329" s="21">
        <f t="shared" ca="1" si="56"/>
        <v>11.86356895393966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10.738872040136751</v>
      </c>
      <c r="C330" s="20">
        <f t="shared" ca="1" si="49"/>
        <v>8.7118560718670928</v>
      </c>
      <c r="D330" s="21">
        <f t="shared" ca="1" si="56"/>
        <v>8.7118560718670928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11.163648931966796</v>
      </c>
      <c r="C331" s="20">
        <f t="shared" ca="1" si="49"/>
        <v>10.797748511979441</v>
      </c>
      <c r="D331" s="21">
        <f t="shared" ca="1" si="56"/>
        <v>10.797748511979441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7.2045415907940633</v>
      </c>
      <c r="C332" s="20">
        <f t="shared" ca="1" si="49"/>
        <v>9.9552874595524141</v>
      </c>
      <c r="D332" s="21">
        <f t="shared" ref="D332:G351" ca="1" si="59">IF(AND(ISNUMBER($D$1),$F$1&gt;0,ISNUMBER(D$11),D$11&lt;=$H$1),_xlfn.NORM.INV(RAND(),$D$1,SQRT($F$1)),"")</f>
        <v>9.9552874595524141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10.59320245664555</v>
      </c>
      <c r="C333" s="20">
        <f t="shared" ref="C333:C396" ca="1" si="62">IF(AND($H$1&gt;=1,ISNUMBER(D333)),AVERAGE(D333:W333),"")</f>
        <v>7.5765948460830614</v>
      </c>
      <c r="D333" s="21">
        <f t="shared" ca="1" si="59"/>
        <v>7.5765948460830614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10.239254952785675</v>
      </c>
      <c r="C334" s="20">
        <f t="shared" ca="1" si="62"/>
        <v>11.184744681389141</v>
      </c>
      <c r="D334" s="21">
        <f t="shared" ca="1" si="59"/>
        <v>11.184744681389141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8.3337547204749232</v>
      </c>
      <c r="C335" s="20">
        <f t="shared" ca="1" si="62"/>
        <v>8.5059864147666371</v>
      </c>
      <c r="D335" s="21">
        <f t="shared" ca="1" si="59"/>
        <v>8.5059864147666371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7.956273758051422</v>
      </c>
      <c r="C336" s="20">
        <f t="shared" ca="1" si="62"/>
        <v>10.288136808859363</v>
      </c>
      <c r="D336" s="21">
        <f t="shared" ca="1" si="59"/>
        <v>10.288136808859363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8.6286968465446225</v>
      </c>
      <c r="C337" s="20">
        <f t="shared" ca="1" si="62"/>
        <v>10.95354996503424</v>
      </c>
      <c r="D337" s="21">
        <f t="shared" ca="1" si="59"/>
        <v>10.95354996503424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9.8075414730313994</v>
      </c>
      <c r="C338" s="20">
        <f t="shared" ca="1" si="62"/>
        <v>11.206354427843765</v>
      </c>
      <c r="D338" s="21">
        <f t="shared" ca="1" si="59"/>
        <v>11.206354427843765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7.0747360170469529</v>
      </c>
      <c r="C339" s="20">
        <f t="shared" ca="1" si="62"/>
        <v>10.979886154822621</v>
      </c>
      <c r="D339" s="21">
        <f t="shared" ca="1" si="59"/>
        <v>10.979886154822621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9.5790110566571371</v>
      </c>
      <c r="C340" s="20">
        <f t="shared" ca="1" si="62"/>
        <v>7.7855020975382878</v>
      </c>
      <c r="D340" s="21">
        <f t="shared" ca="1" si="59"/>
        <v>7.7855020975382878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11.377801143636999</v>
      </c>
      <c r="C341" s="20">
        <f t="shared" ca="1" si="62"/>
        <v>8.9988274514311399</v>
      </c>
      <c r="D341" s="21">
        <f t="shared" ca="1" si="59"/>
        <v>8.9988274514311399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10.232262807144794</v>
      </c>
      <c r="C342" s="20">
        <f t="shared" ca="1" si="62"/>
        <v>7.4424170358789663</v>
      </c>
      <c r="D342" s="21">
        <f t="shared" ca="1" si="59"/>
        <v>7.4424170358789663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12.322666162746087</v>
      </c>
      <c r="C343" s="20">
        <f t="shared" ca="1" si="62"/>
        <v>7.219387304606002</v>
      </c>
      <c r="D343" s="21">
        <f t="shared" ca="1" si="59"/>
        <v>7.219387304606002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11.440380544642846</v>
      </c>
      <c r="C344" s="20">
        <f t="shared" ca="1" si="62"/>
        <v>10.494394289234721</v>
      </c>
      <c r="D344" s="21">
        <f t="shared" ca="1" si="59"/>
        <v>10.494394289234721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9.6095933167734842</v>
      </c>
      <c r="C345" s="20">
        <f t="shared" ca="1" si="62"/>
        <v>6.1901147530042255</v>
      </c>
      <c r="D345" s="21">
        <f t="shared" ca="1" si="59"/>
        <v>6.1901147530042255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8.6719441126050167</v>
      </c>
      <c r="C346" s="20">
        <f t="shared" ca="1" si="62"/>
        <v>7.6905850875918302</v>
      </c>
      <c r="D346" s="21">
        <f t="shared" ca="1" si="59"/>
        <v>7.6905850875918302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5.5520052433469935</v>
      </c>
      <c r="C347" s="20">
        <f t="shared" ca="1" si="62"/>
        <v>7.9033208882138002</v>
      </c>
      <c r="D347" s="21">
        <f t="shared" ca="1" si="59"/>
        <v>7.9033208882138002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11.769221916947489</v>
      </c>
      <c r="C348" s="20">
        <f t="shared" ca="1" si="62"/>
        <v>9.4711238577898573</v>
      </c>
      <c r="D348" s="21">
        <f t="shared" ca="1" si="59"/>
        <v>9.4711238577898573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7.4685262038830196</v>
      </c>
      <c r="C349" s="20">
        <f t="shared" ca="1" si="62"/>
        <v>8.0963270559715319</v>
      </c>
      <c r="D349" s="21">
        <f t="shared" ca="1" si="59"/>
        <v>8.0963270559715319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7.7622085483327528</v>
      </c>
      <c r="C350" s="20">
        <f t="shared" ca="1" si="62"/>
        <v>8.6496794599944469</v>
      </c>
      <c r="D350" s="21">
        <f t="shared" ca="1" si="59"/>
        <v>8.6496794599944469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9.4187601274070047</v>
      </c>
      <c r="C351" s="20">
        <f t="shared" ca="1" si="62"/>
        <v>8.0749649100725751</v>
      </c>
      <c r="D351" s="21">
        <f t="shared" ca="1" si="59"/>
        <v>8.0749649100725751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11.797573278511271</v>
      </c>
      <c r="C352" s="20">
        <f t="shared" ca="1" si="62"/>
        <v>13.049204559285517</v>
      </c>
      <c r="D352" s="21">
        <f t="shared" ref="D352:G371" ca="1" si="64">IF(AND(ISNUMBER($D$1),$F$1&gt;0,ISNUMBER(D$11),D$11&lt;=$H$1),_xlfn.NORM.INV(RAND(),$D$1,SQRT($F$1)),"")</f>
        <v>13.049204559285517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9.1290884725861918</v>
      </c>
      <c r="C353" s="20">
        <f t="shared" ca="1" si="62"/>
        <v>11.77606705647413</v>
      </c>
      <c r="D353" s="21">
        <f t="shared" ca="1" si="64"/>
        <v>11.77606705647413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7.2406538844038257</v>
      </c>
      <c r="C354" s="20">
        <f t="shared" ca="1" si="62"/>
        <v>7.052060146758965</v>
      </c>
      <c r="D354" s="21">
        <f t="shared" ca="1" si="64"/>
        <v>7.052060146758965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8.5554610445236996</v>
      </c>
      <c r="C355" s="20">
        <f t="shared" ca="1" si="62"/>
        <v>9.3056312639231304</v>
      </c>
      <c r="D355" s="21">
        <f t="shared" ca="1" si="64"/>
        <v>9.3056312639231304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7.8684508411522316</v>
      </c>
      <c r="C356" s="20">
        <f t="shared" ca="1" si="62"/>
        <v>12.040279106741979</v>
      </c>
      <c r="D356" s="21">
        <f t="shared" ca="1" si="64"/>
        <v>12.040279106741979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11.488958631975198</v>
      </c>
      <c r="C357" s="20">
        <f t="shared" ca="1" si="62"/>
        <v>9.5427197504461088</v>
      </c>
      <c r="D357" s="21">
        <f t="shared" ca="1" si="64"/>
        <v>9.5427197504461088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8.5007194852658294</v>
      </c>
      <c r="C358" s="20">
        <f t="shared" ca="1" si="62"/>
        <v>7.2048339318640826</v>
      </c>
      <c r="D358" s="21">
        <f t="shared" ca="1" si="64"/>
        <v>7.2048339318640826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8.1854715551514783</v>
      </c>
      <c r="C359" s="20">
        <f t="shared" ca="1" si="62"/>
        <v>9.1072876783697136</v>
      </c>
      <c r="D359" s="21">
        <f t="shared" ca="1" si="64"/>
        <v>9.1072876783697136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8.664260282360809</v>
      </c>
      <c r="C360" s="20">
        <f t="shared" ca="1" si="62"/>
        <v>10.34332640020496</v>
      </c>
      <c r="D360" s="21">
        <f t="shared" ca="1" si="64"/>
        <v>10.34332640020496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12.160143367274134</v>
      </c>
      <c r="C361" s="20">
        <f t="shared" ca="1" si="62"/>
        <v>9.3298620591061905</v>
      </c>
      <c r="D361" s="21">
        <f t="shared" ca="1" si="64"/>
        <v>9.3298620591061905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11.613384985032067</v>
      </c>
      <c r="C362" s="20">
        <f t="shared" ca="1" si="62"/>
        <v>13.092545828939667</v>
      </c>
      <c r="D362" s="21">
        <f t="shared" ca="1" si="64"/>
        <v>13.092545828939667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13.367731741386342</v>
      </c>
      <c r="C363" s="20">
        <f t="shared" ca="1" si="62"/>
        <v>12.283979772082454</v>
      </c>
      <c r="D363" s="21">
        <f t="shared" ca="1" si="64"/>
        <v>12.283979772082454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11.942291454664231</v>
      </c>
      <c r="C364" s="20">
        <f t="shared" ca="1" si="62"/>
        <v>7.5059096588344154</v>
      </c>
      <c r="D364" s="21">
        <f t="shared" ca="1" si="64"/>
        <v>7.5059096588344154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12.822811456908786</v>
      </c>
      <c r="C365" s="20">
        <f t="shared" ca="1" si="62"/>
        <v>14.591233998555243</v>
      </c>
      <c r="D365" s="21">
        <f t="shared" ca="1" si="64"/>
        <v>14.591233998555243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8.8959654028818012</v>
      </c>
      <c r="C366" s="20">
        <f t="shared" ca="1" si="62"/>
        <v>10.523565088672555</v>
      </c>
      <c r="D366" s="21">
        <f t="shared" ca="1" si="64"/>
        <v>10.523565088672555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9.9352142565906796</v>
      </c>
      <c r="C367" s="20">
        <f t="shared" ca="1" si="62"/>
        <v>9.1860638930647482</v>
      </c>
      <c r="D367" s="21">
        <f t="shared" ca="1" si="64"/>
        <v>9.1860638930647482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9.8902662277943794</v>
      </c>
      <c r="C368" s="20">
        <f t="shared" ca="1" si="62"/>
        <v>11.193467206710588</v>
      </c>
      <c r="D368" s="21">
        <f t="shared" ca="1" si="64"/>
        <v>11.193467206710588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7.7005657670755614</v>
      </c>
      <c r="C369" s="20">
        <f t="shared" ca="1" si="62"/>
        <v>11.779727572548481</v>
      </c>
      <c r="D369" s="21">
        <f t="shared" ca="1" si="64"/>
        <v>11.779727572548481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7.3204867729218757</v>
      </c>
      <c r="C370" s="20">
        <f t="shared" ca="1" si="62"/>
        <v>13.880090908841959</v>
      </c>
      <c r="D370" s="21">
        <f t="shared" ca="1" si="64"/>
        <v>13.880090908841959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9.206241235142997</v>
      </c>
      <c r="C371" s="20">
        <f t="shared" ca="1" si="62"/>
        <v>7.0490507021597706</v>
      </c>
      <c r="D371" s="21">
        <f t="shared" ca="1" si="64"/>
        <v>7.0490507021597706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9.8640839871809032</v>
      </c>
      <c r="C372" s="20">
        <f t="shared" ca="1" si="62"/>
        <v>11.911679268312547</v>
      </c>
      <c r="D372" s="21">
        <f t="shared" ref="D372:G391" ca="1" si="67">IF(AND(ISNUMBER($D$1),$F$1&gt;0,ISNUMBER(D$11),D$11&lt;=$H$1),_xlfn.NORM.INV(RAND(),$D$1,SQRT($F$1)),"")</f>
        <v>11.911679268312547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5.835640032266741</v>
      </c>
      <c r="C373" s="20">
        <f t="shared" ca="1" si="62"/>
        <v>6.5019040488946018</v>
      </c>
      <c r="D373" s="21">
        <f t="shared" ca="1" si="67"/>
        <v>6.5019040488946018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12.264956575736967</v>
      </c>
      <c r="C374" s="20">
        <f t="shared" ca="1" si="62"/>
        <v>10.726375445499768</v>
      </c>
      <c r="D374" s="21">
        <f t="shared" ca="1" si="67"/>
        <v>10.726375445499768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9.5272810748185126</v>
      </c>
      <c r="C375" s="20">
        <f t="shared" ca="1" si="62"/>
        <v>11.923594469267139</v>
      </c>
      <c r="D375" s="21">
        <f t="shared" ca="1" si="67"/>
        <v>11.923594469267139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7.7956867270940231</v>
      </c>
      <c r="C376" s="20">
        <f t="shared" ca="1" si="62"/>
        <v>12.803695865113525</v>
      </c>
      <c r="D376" s="21">
        <f t="shared" ca="1" si="67"/>
        <v>12.803695865113525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7.3030056816175559</v>
      </c>
      <c r="C377" s="20">
        <f t="shared" ca="1" si="62"/>
        <v>11.633749832189123</v>
      </c>
      <c r="D377" s="21">
        <f t="shared" ca="1" si="67"/>
        <v>11.633749832189123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9.9112968110487252</v>
      </c>
      <c r="C378" s="20">
        <f t="shared" ca="1" si="62"/>
        <v>7.1562105199456756</v>
      </c>
      <c r="D378" s="21">
        <f t="shared" ca="1" si="67"/>
        <v>7.1562105199456756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10.136305876878575</v>
      </c>
      <c r="C379" s="20">
        <f t="shared" ca="1" si="62"/>
        <v>12.248316537298471</v>
      </c>
      <c r="D379" s="21">
        <f t="shared" ca="1" si="67"/>
        <v>12.248316537298471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13.245305304287999</v>
      </c>
      <c r="C380" s="20">
        <f t="shared" ca="1" si="62"/>
        <v>9.9977262772389697</v>
      </c>
      <c r="D380" s="21">
        <f t="shared" ca="1" si="67"/>
        <v>9.9977262772389697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10.794477246157825</v>
      </c>
      <c r="C381" s="20">
        <f t="shared" ca="1" si="62"/>
        <v>11.095444601438997</v>
      </c>
      <c r="D381" s="21">
        <f t="shared" ca="1" si="67"/>
        <v>11.095444601438997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10.503319994026176</v>
      </c>
      <c r="C382" s="20">
        <f t="shared" ca="1" si="62"/>
        <v>5.5509666908463471</v>
      </c>
      <c r="D382" s="21">
        <f t="shared" ca="1" si="67"/>
        <v>5.5509666908463471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11.261266058133907</v>
      </c>
      <c r="C383" s="20">
        <f t="shared" ca="1" si="62"/>
        <v>6.7916764244283527</v>
      </c>
      <c r="D383" s="21">
        <f t="shared" ca="1" si="67"/>
        <v>6.7916764244283527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10.76757158610838</v>
      </c>
      <c r="C384" s="20">
        <f t="shared" ca="1" si="62"/>
        <v>6.8475866045378702</v>
      </c>
      <c r="D384" s="21">
        <f t="shared" ca="1" si="67"/>
        <v>6.8475866045378702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10.07710685137682</v>
      </c>
      <c r="C385" s="20">
        <f t="shared" ca="1" si="62"/>
        <v>10.502159880392343</v>
      </c>
      <c r="D385" s="21">
        <f t="shared" ca="1" si="67"/>
        <v>10.502159880392343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13.375892196023281</v>
      </c>
      <c r="C386" s="20">
        <f t="shared" ca="1" si="62"/>
        <v>11.320328122877385</v>
      </c>
      <c r="D386" s="21">
        <f t="shared" ca="1" si="67"/>
        <v>11.320328122877385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12.61677828351878</v>
      </c>
      <c r="C387" s="20">
        <f t="shared" ca="1" si="62"/>
        <v>7.1096130417141019</v>
      </c>
      <c r="D387" s="21">
        <f t="shared" ca="1" si="67"/>
        <v>7.1096130417141019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6.6576022687012326</v>
      </c>
      <c r="C388" s="20">
        <f t="shared" ca="1" si="62"/>
        <v>12.779914877395349</v>
      </c>
      <c r="D388" s="21">
        <f t="shared" ca="1" si="67"/>
        <v>12.779914877395349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10.843965558138015</v>
      </c>
      <c r="C389" s="20">
        <f t="shared" ca="1" si="62"/>
        <v>8.3661156562345909</v>
      </c>
      <c r="D389" s="21">
        <f t="shared" ca="1" si="67"/>
        <v>8.3661156562345909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10.216317495610216</v>
      </c>
      <c r="C390" s="20">
        <f t="shared" ca="1" si="62"/>
        <v>5.8989600483133318</v>
      </c>
      <c r="D390" s="21">
        <f t="shared" ca="1" si="67"/>
        <v>5.8989600483133318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6.5212373616863317</v>
      </c>
      <c r="C391" s="20">
        <f t="shared" ca="1" si="62"/>
        <v>7.0696950427347733</v>
      </c>
      <c r="D391" s="21">
        <f t="shared" ca="1" si="67"/>
        <v>7.0696950427347733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5.9691256959861096</v>
      </c>
      <c r="C392" s="20">
        <f t="shared" ca="1" si="62"/>
        <v>7.9062418606409519</v>
      </c>
      <c r="D392" s="21">
        <f t="shared" ref="D392:G411" ca="1" si="70">IF(AND(ISNUMBER($D$1),$F$1&gt;0,ISNUMBER(D$11),D$11&lt;=$H$1),_xlfn.NORM.INV(RAND(),$D$1,SQRT($F$1)),"")</f>
        <v>7.9062418606409519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4.4933880718121477</v>
      </c>
      <c r="C393" s="20">
        <f t="shared" ca="1" si="62"/>
        <v>9.5770687398593921</v>
      </c>
      <c r="D393" s="21">
        <f t="shared" ca="1" si="70"/>
        <v>9.5770687398593921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14.491280631039942</v>
      </c>
      <c r="C394" s="20">
        <f t="shared" ca="1" si="62"/>
        <v>11.663723238171478</v>
      </c>
      <c r="D394" s="21">
        <f t="shared" ca="1" si="70"/>
        <v>11.663723238171478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9.8846749141597368</v>
      </c>
      <c r="C395" s="20">
        <f t="shared" ca="1" si="62"/>
        <v>11.487675498902853</v>
      </c>
      <c r="D395" s="21">
        <f t="shared" ca="1" si="70"/>
        <v>11.487675498902853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10.850448163639712</v>
      </c>
      <c r="C396" s="20">
        <f t="shared" ca="1" si="62"/>
        <v>12.184311908420606</v>
      </c>
      <c r="D396" s="21">
        <f t="shared" ca="1" si="70"/>
        <v>12.184311908420606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7.7492812008232512</v>
      </c>
      <c r="C397" s="20">
        <f t="shared" ref="C397:C460" ca="1" si="73">IF(AND($H$1&gt;=1,ISNUMBER(D397)),AVERAGE(D397:W397),"")</f>
        <v>7.6982649490270063</v>
      </c>
      <c r="D397" s="21">
        <f t="shared" ca="1" si="70"/>
        <v>7.6982649490270063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9.5996208316216389</v>
      </c>
      <c r="C398" s="20">
        <f t="shared" ca="1" si="73"/>
        <v>11.188605496934834</v>
      </c>
      <c r="D398" s="21">
        <f t="shared" ca="1" si="70"/>
        <v>11.188605496934834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5.9419778268717458</v>
      </c>
      <c r="C399" s="20">
        <f t="shared" ca="1" si="73"/>
        <v>12.00516661554925</v>
      </c>
      <c r="D399" s="21">
        <f t="shared" ca="1" si="70"/>
        <v>12.00516661554925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12.489446904039493</v>
      </c>
      <c r="C400" s="20">
        <f t="shared" ca="1" si="73"/>
        <v>7.3848094394669985</v>
      </c>
      <c r="D400" s="21">
        <f t="shared" ca="1" si="70"/>
        <v>7.3848094394669985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9.004536296111235</v>
      </c>
      <c r="C401" s="20">
        <f t="shared" ca="1" si="73"/>
        <v>11.174990786826099</v>
      </c>
      <c r="D401" s="21">
        <f t="shared" ca="1" si="70"/>
        <v>11.174990786826099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9.0749945434757979</v>
      </c>
      <c r="C402" s="20">
        <f t="shared" ca="1" si="73"/>
        <v>7.3728704130033069</v>
      </c>
      <c r="D402" s="21">
        <f t="shared" ca="1" si="70"/>
        <v>7.3728704130033069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11.526424123500833</v>
      </c>
      <c r="C403" s="20">
        <f t="shared" ca="1" si="73"/>
        <v>7.4028616559891436</v>
      </c>
      <c r="D403" s="21">
        <f t="shared" ca="1" si="70"/>
        <v>7.4028616559891436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9.9348576377340851</v>
      </c>
      <c r="C404" s="20">
        <f t="shared" ca="1" si="73"/>
        <v>10.631815846982796</v>
      </c>
      <c r="D404" s="21">
        <f t="shared" ca="1" si="70"/>
        <v>10.631815846982796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10.462779822400922</v>
      </c>
      <c r="C405" s="20">
        <f t="shared" ca="1" si="73"/>
        <v>10.492420826515637</v>
      </c>
      <c r="D405" s="21">
        <f t="shared" ca="1" si="70"/>
        <v>10.492420826515637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14.029787586730436</v>
      </c>
      <c r="C406" s="20">
        <f t="shared" ca="1" si="73"/>
        <v>13.448842789964514</v>
      </c>
      <c r="D406" s="21">
        <f t="shared" ca="1" si="70"/>
        <v>13.448842789964514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10.181048065200452</v>
      </c>
      <c r="C407" s="20">
        <f t="shared" ca="1" si="73"/>
        <v>5.2488660294177949</v>
      </c>
      <c r="D407" s="21">
        <f t="shared" ca="1" si="70"/>
        <v>5.2488660294177949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11.375921136637736</v>
      </c>
      <c r="C408" s="20">
        <f t="shared" ca="1" si="73"/>
        <v>6.306124516610927</v>
      </c>
      <c r="D408" s="21">
        <f t="shared" ca="1" si="70"/>
        <v>6.306124516610927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10.381487274056383</v>
      </c>
      <c r="C409" s="20">
        <f t="shared" ca="1" si="73"/>
        <v>9.440246687180073</v>
      </c>
      <c r="D409" s="21">
        <f t="shared" ca="1" si="70"/>
        <v>9.440246687180073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10.107597820101001</v>
      </c>
      <c r="C410" s="20">
        <f t="shared" ca="1" si="73"/>
        <v>11.41666629554655</v>
      </c>
      <c r="D410" s="21">
        <f t="shared" ca="1" si="70"/>
        <v>11.41666629554655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10.113765053837581</v>
      </c>
      <c r="C411" s="20">
        <f t="shared" ca="1" si="73"/>
        <v>11.519648225008163</v>
      </c>
      <c r="D411" s="21">
        <f t="shared" ca="1" si="70"/>
        <v>11.519648225008163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8.3887649736266461</v>
      </c>
      <c r="C412" s="20">
        <f t="shared" ca="1" si="73"/>
        <v>10.105900090612662</v>
      </c>
      <c r="D412" s="21">
        <f t="shared" ref="D412:G431" ca="1" si="75">IF(AND(ISNUMBER($D$1),$F$1&gt;0,ISNUMBER(D$11),D$11&lt;=$H$1),_xlfn.NORM.INV(RAND(),$D$1,SQRT($F$1)),"")</f>
        <v>10.105900090612662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13.363512418530696</v>
      </c>
      <c r="C413" s="20">
        <f t="shared" ca="1" si="73"/>
        <v>11.786321367256319</v>
      </c>
      <c r="D413" s="21">
        <f t="shared" ca="1" si="75"/>
        <v>11.786321367256319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11.504257232103503</v>
      </c>
      <c r="C414" s="20">
        <f t="shared" ca="1" si="73"/>
        <v>8.5114818005260204</v>
      </c>
      <c r="D414" s="21">
        <f t="shared" ca="1" si="75"/>
        <v>8.5114818005260204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10.382047684035319</v>
      </c>
      <c r="C415" s="20">
        <f t="shared" ca="1" si="73"/>
        <v>9.2671026063850945</v>
      </c>
      <c r="D415" s="21">
        <f t="shared" ca="1" si="75"/>
        <v>9.2671026063850945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13.357042666399497</v>
      </c>
      <c r="C416" s="20">
        <f t="shared" ca="1" si="73"/>
        <v>8.3266298150651643</v>
      </c>
      <c r="D416" s="21">
        <f t="shared" ca="1" si="75"/>
        <v>8.3266298150651643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10.747904047592966</v>
      </c>
      <c r="C417" s="20">
        <f t="shared" ca="1" si="73"/>
        <v>7.1051107057146634</v>
      </c>
      <c r="D417" s="21">
        <f t="shared" ca="1" si="75"/>
        <v>7.1051107057146634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6.4126638280549937</v>
      </c>
      <c r="C418" s="20">
        <f t="shared" ca="1" si="73"/>
        <v>9.1336979310420947</v>
      </c>
      <c r="D418" s="21">
        <f t="shared" ca="1" si="75"/>
        <v>9.1336979310420947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11.076030777563311</v>
      </c>
      <c r="C419" s="20">
        <f t="shared" ca="1" si="73"/>
        <v>12.467394304239839</v>
      </c>
      <c r="D419" s="21">
        <f t="shared" ca="1" si="75"/>
        <v>12.467394304239839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8.0498132042299151</v>
      </c>
      <c r="C420" s="20">
        <f t="shared" ca="1" si="73"/>
        <v>12.687066170076831</v>
      </c>
      <c r="D420" s="21">
        <f t="shared" ca="1" si="75"/>
        <v>12.687066170076831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11.739731362244099</v>
      </c>
      <c r="C421" s="20">
        <f t="shared" ca="1" si="73"/>
        <v>13.578373098450857</v>
      </c>
      <c r="D421" s="21">
        <f t="shared" ca="1" si="75"/>
        <v>13.578373098450857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8.2479988721584654</v>
      </c>
      <c r="C422" s="20">
        <f t="shared" ca="1" si="73"/>
        <v>10.854959237134391</v>
      </c>
      <c r="D422" s="21">
        <f t="shared" ca="1" si="75"/>
        <v>10.854959237134391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13.135613360497569</v>
      </c>
      <c r="C423" s="20">
        <f t="shared" ca="1" si="73"/>
        <v>14.691825757330257</v>
      </c>
      <c r="D423" s="21">
        <f t="shared" ca="1" si="75"/>
        <v>14.691825757330257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4.9401815506522864</v>
      </c>
      <c r="C424" s="20">
        <f t="shared" ca="1" si="73"/>
        <v>11.518469838988546</v>
      </c>
      <c r="D424" s="21">
        <f t="shared" ca="1" si="75"/>
        <v>11.518469838988546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9.212497678390827</v>
      </c>
      <c r="C425" s="20">
        <f t="shared" ca="1" si="73"/>
        <v>9.7154852312547568</v>
      </c>
      <c r="D425" s="21">
        <f t="shared" ca="1" si="75"/>
        <v>9.7154852312547568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14.124819737123257</v>
      </c>
      <c r="C426" s="20">
        <f t="shared" ca="1" si="73"/>
        <v>8.429950281902153</v>
      </c>
      <c r="D426" s="21">
        <f t="shared" ca="1" si="75"/>
        <v>8.429950281902153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6.6937325843121673</v>
      </c>
      <c r="C427" s="20">
        <f t="shared" ca="1" si="73"/>
        <v>10.596123841971425</v>
      </c>
      <c r="D427" s="21">
        <f t="shared" ca="1" si="75"/>
        <v>10.596123841971425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7.6890616551065634</v>
      </c>
      <c r="C428" s="20">
        <f t="shared" ca="1" si="73"/>
        <v>8.55805104142879</v>
      </c>
      <c r="D428" s="21">
        <f t="shared" ca="1" si="75"/>
        <v>8.55805104142879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11.866641515401101</v>
      </c>
      <c r="C429" s="20">
        <f t="shared" ca="1" si="73"/>
        <v>9.9913879229886859</v>
      </c>
      <c r="D429" s="21">
        <f t="shared" ca="1" si="75"/>
        <v>9.9913879229886859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10.762187797503977</v>
      </c>
      <c r="C430" s="20">
        <f t="shared" ca="1" si="73"/>
        <v>10.217482084716988</v>
      </c>
      <c r="D430" s="21">
        <f t="shared" ca="1" si="75"/>
        <v>10.217482084716988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9.3736698849418385</v>
      </c>
      <c r="C431" s="20">
        <f t="shared" ca="1" si="73"/>
        <v>11.452409589811936</v>
      </c>
      <c r="D431" s="21">
        <f t="shared" ca="1" si="75"/>
        <v>11.452409589811936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9.3820205481013819</v>
      </c>
      <c r="C432" s="20">
        <f t="shared" ca="1" si="73"/>
        <v>10.397834579780216</v>
      </c>
      <c r="D432" s="21">
        <f t="shared" ref="D432:G451" ca="1" si="78">IF(AND(ISNUMBER($D$1),$F$1&gt;0,ISNUMBER(D$11),D$11&lt;=$H$1),_xlfn.NORM.INV(RAND(),$D$1,SQRT($F$1)),"")</f>
        <v>10.397834579780216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10.809102490507852</v>
      </c>
      <c r="C433" s="20">
        <f t="shared" ca="1" si="73"/>
        <v>10.490509990216472</v>
      </c>
      <c r="D433" s="21">
        <f t="shared" ca="1" si="78"/>
        <v>10.490509990216472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10.564301221104694</v>
      </c>
      <c r="C434" s="20">
        <f t="shared" ca="1" si="73"/>
        <v>12.38620746199779</v>
      </c>
      <c r="D434" s="21">
        <f t="shared" ca="1" si="78"/>
        <v>12.38620746199779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11.082258016059372</v>
      </c>
      <c r="C435" s="20">
        <f t="shared" ca="1" si="73"/>
        <v>8.3504899975737708</v>
      </c>
      <c r="D435" s="21">
        <f t="shared" ca="1" si="78"/>
        <v>8.3504899975737708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8.0801792307443101</v>
      </c>
      <c r="C436" s="20">
        <f t="shared" ca="1" si="73"/>
        <v>9.1619962023478152</v>
      </c>
      <c r="D436" s="21">
        <f t="shared" ca="1" si="78"/>
        <v>9.1619962023478152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8.8920334298908692</v>
      </c>
      <c r="C437" s="20">
        <f t="shared" ca="1" si="73"/>
        <v>7.8795554377995636</v>
      </c>
      <c r="D437" s="21">
        <f t="shared" ca="1" si="78"/>
        <v>7.8795554377995636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11.539319555601988</v>
      </c>
      <c r="C438" s="20">
        <f t="shared" ca="1" si="73"/>
        <v>8.7969222658757538</v>
      </c>
      <c r="D438" s="21">
        <f t="shared" ca="1" si="78"/>
        <v>8.7969222658757538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10.872189709753659</v>
      </c>
      <c r="C439" s="20">
        <f t="shared" ca="1" si="73"/>
        <v>9.0649871917606806</v>
      </c>
      <c r="D439" s="21">
        <f t="shared" ca="1" si="78"/>
        <v>9.0649871917606806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8.4755109441404564</v>
      </c>
      <c r="C440" s="20">
        <f t="shared" ca="1" si="73"/>
        <v>13.187189470164309</v>
      </c>
      <c r="D440" s="21">
        <f t="shared" ca="1" si="78"/>
        <v>13.187189470164309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7.8008235419438829</v>
      </c>
      <c r="C441" s="20">
        <f t="shared" ca="1" si="73"/>
        <v>10.178563630993001</v>
      </c>
      <c r="D441" s="21">
        <f t="shared" ca="1" si="78"/>
        <v>10.178563630993001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8.0643669702174261</v>
      </c>
      <c r="C442" s="20">
        <f t="shared" ca="1" si="73"/>
        <v>10.730603643590232</v>
      </c>
      <c r="D442" s="21">
        <f t="shared" ca="1" si="78"/>
        <v>10.730603643590232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10.637237483207224</v>
      </c>
      <c r="C443" s="20">
        <f t="shared" ca="1" si="73"/>
        <v>14.125379691203857</v>
      </c>
      <c r="D443" s="21">
        <f t="shared" ca="1" si="78"/>
        <v>14.125379691203857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8.5758043181586565</v>
      </c>
      <c r="C444" s="20">
        <f t="shared" ca="1" si="73"/>
        <v>13.507191836654759</v>
      </c>
      <c r="D444" s="21">
        <f t="shared" ca="1" si="78"/>
        <v>13.507191836654759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8.7858170982907193</v>
      </c>
      <c r="C445" s="20">
        <f t="shared" ca="1" si="73"/>
        <v>9.315915521484925</v>
      </c>
      <c r="D445" s="21">
        <f t="shared" ca="1" si="78"/>
        <v>9.315915521484925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10.501952880307194</v>
      </c>
      <c r="C446" s="20">
        <f t="shared" ca="1" si="73"/>
        <v>12.623357864340164</v>
      </c>
      <c r="D446" s="21">
        <f t="shared" ca="1" si="78"/>
        <v>12.623357864340164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12.240494742652954</v>
      </c>
      <c r="C447" s="20">
        <f t="shared" ca="1" si="73"/>
        <v>9.1318142180048518</v>
      </c>
      <c r="D447" s="21">
        <f t="shared" ca="1" si="78"/>
        <v>9.1318142180048518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12.244671507732997</v>
      </c>
      <c r="C448" s="20">
        <f t="shared" ca="1" si="73"/>
        <v>7.7788904905738949</v>
      </c>
      <c r="D448" s="21">
        <f t="shared" ca="1" si="78"/>
        <v>7.7788904905738949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12.812728054911702</v>
      </c>
      <c r="C449" s="20">
        <f t="shared" ca="1" si="73"/>
        <v>7.6137064233488916</v>
      </c>
      <c r="D449" s="21">
        <f t="shared" ca="1" si="78"/>
        <v>7.6137064233488916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11.132207300987377</v>
      </c>
      <c r="C450" s="20">
        <f t="shared" ca="1" si="73"/>
        <v>8.8084399351298579</v>
      </c>
      <c r="D450" s="21">
        <f t="shared" ca="1" si="78"/>
        <v>8.8084399351298579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11.285806290378062</v>
      </c>
      <c r="C451" s="20">
        <f t="shared" ca="1" si="73"/>
        <v>10.001651913946619</v>
      </c>
      <c r="D451" s="21">
        <f t="shared" ca="1" si="78"/>
        <v>10.001651913946619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8.6783331195551145</v>
      </c>
      <c r="C452" s="20">
        <f t="shared" ca="1" si="73"/>
        <v>10.055365530074564</v>
      </c>
      <c r="D452" s="21">
        <f t="shared" ref="D452:G471" ca="1" si="81">IF(AND(ISNUMBER($D$1),$F$1&gt;0,ISNUMBER(D$11),D$11&lt;=$H$1),_xlfn.NORM.INV(RAND(),$D$1,SQRT($F$1)),"")</f>
        <v>10.055365530074564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10.039008723779542</v>
      </c>
      <c r="C453" s="20">
        <f t="shared" ca="1" si="73"/>
        <v>8.4899925927363569</v>
      </c>
      <c r="D453" s="21">
        <f t="shared" ca="1" si="81"/>
        <v>8.4899925927363569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9.0743899296265678</v>
      </c>
      <c r="C454" s="20">
        <f t="shared" ca="1" si="73"/>
        <v>9.2059926918068857</v>
      </c>
      <c r="D454" s="21">
        <f t="shared" ca="1" si="81"/>
        <v>9.2059926918068857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11.458699606314015</v>
      </c>
      <c r="C455" s="20">
        <f t="shared" ca="1" si="73"/>
        <v>13.168400088014353</v>
      </c>
      <c r="D455" s="21">
        <f t="shared" ca="1" si="81"/>
        <v>13.168400088014353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7.8151713696295477</v>
      </c>
      <c r="C456" s="20">
        <f t="shared" ca="1" si="73"/>
        <v>10.273801125219579</v>
      </c>
      <c r="D456" s="21">
        <f t="shared" ca="1" si="81"/>
        <v>10.273801125219579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6.7418308639511153</v>
      </c>
      <c r="C457" s="20">
        <f t="shared" ca="1" si="73"/>
        <v>12.141061418147022</v>
      </c>
      <c r="D457" s="21">
        <f t="shared" ca="1" si="81"/>
        <v>12.141061418147022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13.102556136357059</v>
      </c>
      <c r="C458" s="20">
        <f t="shared" ca="1" si="73"/>
        <v>10.054446339282572</v>
      </c>
      <c r="D458" s="21">
        <f t="shared" ca="1" si="81"/>
        <v>10.054446339282572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10.584480343409979</v>
      </c>
      <c r="C459" s="20">
        <f t="shared" ca="1" si="73"/>
        <v>9.8350940939527458</v>
      </c>
      <c r="D459" s="21">
        <f t="shared" ca="1" si="81"/>
        <v>9.8350940939527458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11.977410208273248</v>
      </c>
      <c r="C460" s="20">
        <f t="shared" ca="1" si="73"/>
        <v>12.901645165570923</v>
      </c>
      <c r="D460" s="21">
        <f t="shared" ca="1" si="81"/>
        <v>12.901645165570923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10.592629383106905</v>
      </c>
      <c r="C461" s="20">
        <f t="shared" ref="C461:C524" ca="1" si="84">IF(AND($H$1&gt;=1,ISNUMBER(D461)),AVERAGE(D461:W461),"")</f>
        <v>7.5643332651437998</v>
      </c>
      <c r="D461" s="21">
        <f t="shared" ca="1" si="81"/>
        <v>7.5643332651437998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14.018211963705319</v>
      </c>
      <c r="C462" s="20">
        <f t="shared" ca="1" si="84"/>
        <v>10.131643962391971</v>
      </c>
      <c r="D462" s="21">
        <f t="shared" ca="1" si="81"/>
        <v>10.131643962391971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10.200651341080629</v>
      </c>
      <c r="C463" s="20">
        <f t="shared" ca="1" si="84"/>
        <v>9.9668302686776542</v>
      </c>
      <c r="D463" s="21">
        <f t="shared" ca="1" si="81"/>
        <v>9.9668302686776542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11.230143695174059</v>
      </c>
      <c r="C464" s="20">
        <f t="shared" ca="1" si="84"/>
        <v>10.111633182754343</v>
      </c>
      <c r="D464" s="21">
        <f t="shared" ca="1" si="81"/>
        <v>10.111633182754343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9.9083702927852393</v>
      </c>
      <c r="C465" s="20">
        <f t="shared" ca="1" si="84"/>
        <v>12.103792501495795</v>
      </c>
      <c r="D465" s="21">
        <f t="shared" ca="1" si="81"/>
        <v>12.103792501495795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14.188055351061371</v>
      </c>
      <c r="C466" s="20">
        <f t="shared" ca="1" si="84"/>
        <v>11.068682552083049</v>
      </c>
      <c r="D466" s="21">
        <f t="shared" ca="1" si="81"/>
        <v>11.068682552083049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12.551676732811028</v>
      </c>
      <c r="C467" s="20">
        <f t="shared" ca="1" si="84"/>
        <v>9.2798994449373922</v>
      </c>
      <c r="D467" s="21">
        <f t="shared" ca="1" si="81"/>
        <v>9.2798994449373922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13.563029020312911</v>
      </c>
      <c r="C468" s="20">
        <f t="shared" ca="1" si="84"/>
        <v>12.264730996263761</v>
      </c>
      <c r="D468" s="21">
        <f t="shared" ca="1" si="81"/>
        <v>12.264730996263761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7.0759965723016096</v>
      </c>
      <c r="C469" s="20">
        <f t="shared" ca="1" si="84"/>
        <v>8.3091001695219635</v>
      </c>
      <c r="D469" s="21">
        <f t="shared" ca="1" si="81"/>
        <v>8.3091001695219635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9.9665683931535884</v>
      </c>
      <c r="C470" s="20">
        <f t="shared" ca="1" si="84"/>
        <v>12.304958337592641</v>
      </c>
      <c r="D470" s="21">
        <f t="shared" ca="1" si="81"/>
        <v>12.304958337592641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10.691571095281809</v>
      </c>
      <c r="C471" s="20">
        <f t="shared" ca="1" si="84"/>
        <v>10.85462921270747</v>
      </c>
      <c r="D471" s="21">
        <f t="shared" ca="1" si="81"/>
        <v>10.85462921270747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13.768520103065022</v>
      </c>
      <c r="C472" s="20">
        <f t="shared" ca="1" si="84"/>
        <v>7.950112048111059</v>
      </c>
      <c r="D472" s="21">
        <f t="shared" ref="D472:G491" ca="1" si="86">IF(AND(ISNUMBER($D$1),$F$1&gt;0,ISNUMBER(D$11),D$11&lt;=$H$1),_xlfn.NORM.INV(RAND(),$D$1,SQRT($F$1)),"")</f>
        <v>7.950112048111059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8.3712380661861108</v>
      </c>
      <c r="C473" s="20">
        <f t="shared" ca="1" si="84"/>
        <v>9.4477982511410552</v>
      </c>
      <c r="D473" s="21">
        <f t="shared" ca="1" si="86"/>
        <v>9.4477982511410552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12.080066088630792</v>
      </c>
      <c r="C474" s="20">
        <f t="shared" ca="1" si="84"/>
        <v>7.7733206789603386</v>
      </c>
      <c r="D474" s="21">
        <f t="shared" ca="1" si="86"/>
        <v>7.7733206789603386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6.5792554770842013</v>
      </c>
      <c r="C475" s="20">
        <f t="shared" ca="1" si="84"/>
        <v>13.533339013303813</v>
      </c>
      <c r="D475" s="21">
        <f t="shared" ca="1" si="86"/>
        <v>13.533339013303813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14.274838358421636</v>
      </c>
      <c r="C476" s="20">
        <f t="shared" ca="1" si="84"/>
        <v>9.0385257292866914</v>
      </c>
      <c r="D476" s="21">
        <f t="shared" ca="1" si="86"/>
        <v>9.0385257292866914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11.430288509103431</v>
      </c>
      <c r="C477" s="20">
        <f t="shared" ca="1" si="84"/>
        <v>8.2017729974782849</v>
      </c>
      <c r="D477" s="21">
        <f t="shared" ca="1" si="86"/>
        <v>8.2017729974782849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8.735323698290328</v>
      </c>
      <c r="C478" s="20">
        <f t="shared" ca="1" si="84"/>
        <v>7.6979464846646959</v>
      </c>
      <c r="D478" s="21">
        <f t="shared" ca="1" si="86"/>
        <v>7.6979464846646959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8.0255501911270866</v>
      </c>
      <c r="C479" s="20">
        <f t="shared" ca="1" si="84"/>
        <v>9.8795025104488321</v>
      </c>
      <c r="D479" s="21">
        <f t="shared" ca="1" si="86"/>
        <v>9.8795025104488321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7.8424647059596211</v>
      </c>
      <c r="C480" s="20">
        <f t="shared" ca="1" si="84"/>
        <v>10.797812706072872</v>
      </c>
      <c r="D480" s="21">
        <f t="shared" ca="1" si="86"/>
        <v>10.797812706072872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6.5716754075325134</v>
      </c>
      <c r="C481" s="20">
        <f t="shared" ca="1" si="84"/>
        <v>8.9491437649622902</v>
      </c>
      <c r="D481" s="21">
        <f t="shared" ca="1" si="86"/>
        <v>8.9491437649622902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9.3253531308450519</v>
      </c>
      <c r="C482" s="20">
        <f t="shared" ca="1" si="84"/>
        <v>9.9794157298278225</v>
      </c>
      <c r="D482" s="21">
        <f t="shared" ca="1" si="86"/>
        <v>9.9794157298278225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9.7162800010180241</v>
      </c>
      <c r="C483" s="20">
        <f t="shared" ca="1" si="84"/>
        <v>8.6773504484397392</v>
      </c>
      <c r="D483" s="21">
        <f t="shared" ca="1" si="86"/>
        <v>8.6773504484397392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9.1842603171693717</v>
      </c>
      <c r="C484" s="20">
        <f t="shared" ca="1" si="84"/>
        <v>9.9654733274092404</v>
      </c>
      <c r="D484" s="21">
        <f t="shared" ca="1" si="86"/>
        <v>9.9654733274092404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8.9020855651097364</v>
      </c>
      <c r="C485" s="20">
        <f t="shared" ca="1" si="84"/>
        <v>6.2058036784358643</v>
      </c>
      <c r="D485" s="21">
        <f t="shared" ca="1" si="86"/>
        <v>6.2058036784358643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11.226099277278935</v>
      </c>
      <c r="C486" s="20">
        <f t="shared" ca="1" si="84"/>
        <v>11.213908784981669</v>
      </c>
      <c r="D486" s="21">
        <f t="shared" ca="1" si="86"/>
        <v>11.213908784981669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7.7710771041141413</v>
      </c>
      <c r="C487" s="20">
        <f t="shared" ca="1" si="84"/>
        <v>11.571444631317588</v>
      </c>
      <c r="D487" s="21">
        <f t="shared" ca="1" si="86"/>
        <v>11.571444631317588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10.244099388007545</v>
      </c>
      <c r="C488" s="20">
        <f t="shared" ca="1" si="84"/>
        <v>12.937022032159739</v>
      </c>
      <c r="D488" s="21">
        <f t="shared" ca="1" si="86"/>
        <v>12.937022032159739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9.2048914185262287</v>
      </c>
      <c r="C489" s="20">
        <f t="shared" ca="1" si="84"/>
        <v>10.919662950173954</v>
      </c>
      <c r="D489" s="21">
        <f t="shared" ca="1" si="86"/>
        <v>10.919662950173954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8.9753620737812678</v>
      </c>
      <c r="C490" s="20">
        <f t="shared" ca="1" si="84"/>
        <v>12.788293263488901</v>
      </c>
      <c r="D490" s="21">
        <f t="shared" ca="1" si="86"/>
        <v>12.788293263488901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10.666022691152527</v>
      </c>
      <c r="C491" s="20">
        <f t="shared" ca="1" si="84"/>
        <v>12.606748904166432</v>
      </c>
      <c r="D491" s="21">
        <f t="shared" ca="1" si="86"/>
        <v>12.606748904166432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6.8535891434069693</v>
      </c>
      <c r="C492" s="20">
        <f t="shared" ca="1" si="84"/>
        <v>11.958904937951871</v>
      </c>
      <c r="D492" s="21">
        <f t="shared" ref="D492:G511" ca="1" si="89">IF(AND(ISNUMBER($D$1),$F$1&gt;0,ISNUMBER(D$11),D$11&lt;=$H$1),_xlfn.NORM.INV(RAND(),$D$1,SQRT($F$1)),"")</f>
        <v>11.958904937951871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6.5966897356099352</v>
      </c>
      <c r="C493" s="20">
        <f t="shared" ca="1" si="84"/>
        <v>12.258742041310862</v>
      </c>
      <c r="D493" s="21">
        <f t="shared" ca="1" si="89"/>
        <v>12.258742041310862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8.8017532367156317</v>
      </c>
      <c r="C494" s="20">
        <f t="shared" ca="1" si="84"/>
        <v>8.8166550119473861</v>
      </c>
      <c r="D494" s="21">
        <f t="shared" ca="1" si="89"/>
        <v>8.8166550119473861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10.07854378662226</v>
      </c>
      <c r="C495" s="20">
        <f t="shared" ca="1" si="84"/>
        <v>13.312078969178462</v>
      </c>
      <c r="D495" s="21">
        <f t="shared" ca="1" si="89"/>
        <v>13.312078969178462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10.014710098352365</v>
      </c>
      <c r="C496" s="20">
        <f t="shared" ca="1" si="84"/>
        <v>13.051837787539558</v>
      </c>
      <c r="D496" s="21">
        <f t="shared" ca="1" si="89"/>
        <v>13.051837787539558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9.18182709401826</v>
      </c>
      <c r="C497" s="20">
        <f t="shared" ca="1" si="84"/>
        <v>5.3025867967669162</v>
      </c>
      <c r="D497" s="21">
        <f t="shared" ca="1" si="89"/>
        <v>5.3025867967669162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9.916190774986724</v>
      </c>
      <c r="C498" s="20">
        <f t="shared" ca="1" si="84"/>
        <v>6.9498293190127862</v>
      </c>
      <c r="D498" s="21">
        <f t="shared" ca="1" si="89"/>
        <v>6.9498293190127862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9.9391085236370031</v>
      </c>
      <c r="C499" s="20">
        <f t="shared" ca="1" si="84"/>
        <v>9.2303861934671669</v>
      </c>
      <c r="D499" s="21">
        <f t="shared" ca="1" si="89"/>
        <v>9.2303861934671669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10.119444783955171</v>
      </c>
      <c r="C500" s="20">
        <f t="shared" ca="1" si="84"/>
        <v>15.953072500210229</v>
      </c>
      <c r="D500" s="21">
        <f t="shared" ca="1" si="89"/>
        <v>15.953072500210229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9.8659480020935462</v>
      </c>
      <c r="C501" s="20">
        <f t="shared" ca="1" si="84"/>
        <v>6.1950421214021301</v>
      </c>
      <c r="D501" s="21">
        <f t="shared" ca="1" si="89"/>
        <v>6.1950421214021301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9.2286323093167297</v>
      </c>
      <c r="C502" s="20">
        <f t="shared" ca="1" si="84"/>
        <v>10.451708891358953</v>
      </c>
      <c r="D502" s="21">
        <f t="shared" ca="1" si="89"/>
        <v>10.451708891358953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12.436704773124861</v>
      </c>
      <c r="C503" s="20">
        <f t="shared" ca="1" si="84"/>
        <v>12.320684830487979</v>
      </c>
      <c r="D503" s="21">
        <f t="shared" ca="1" si="89"/>
        <v>12.320684830487979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13.190802162282475</v>
      </c>
      <c r="C504" s="20">
        <f t="shared" ca="1" si="84"/>
        <v>9.4861950695917798</v>
      </c>
      <c r="D504" s="21">
        <f t="shared" ca="1" si="89"/>
        <v>9.4861950695917798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10.548659642956673</v>
      </c>
      <c r="C505" s="20">
        <f t="shared" ca="1" si="84"/>
        <v>11.059757983423665</v>
      </c>
      <c r="D505" s="21">
        <f t="shared" ca="1" si="89"/>
        <v>11.059757983423665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6.872900964695198</v>
      </c>
      <c r="C506" s="20">
        <f t="shared" ca="1" si="84"/>
        <v>11.504555841749511</v>
      </c>
      <c r="D506" s="21">
        <f t="shared" ca="1" si="89"/>
        <v>11.504555841749511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10.951165269812368</v>
      </c>
      <c r="C507" s="20">
        <f t="shared" ca="1" si="84"/>
        <v>9.1204308256524413</v>
      </c>
      <c r="D507" s="21">
        <f t="shared" ca="1" si="89"/>
        <v>9.1204308256524413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10.047181102127741</v>
      </c>
      <c r="C508" s="20">
        <f t="shared" ca="1" si="84"/>
        <v>11.704800266681179</v>
      </c>
      <c r="D508" s="21">
        <f t="shared" ca="1" si="89"/>
        <v>11.704800266681179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10.324197615217988</v>
      </c>
      <c r="C509" s="20">
        <f t="shared" ca="1" si="84"/>
        <v>8.4047387876576494</v>
      </c>
      <c r="D509" s="21">
        <f t="shared" ca="1" si="89"/>
        <v>8.4047387876576494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11.573200378149901</v>
      </c>
      <c r="C510" s="20">
        <f t="shared" ca="1" si="84"/>
        <v>7.672715780409308</v>
      </c>
      <c r="D510" s="21">
        <f t="shared" ca="1" si="89"/>
        <v>7.672715780409308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6.5581866445640049</v>
      </c>
      <c r="C511" s="20">
        <f t="shared" ca="1" si="84"/>
        <v>6.701860574725016</v>
      </c>
      <c r="D511" s="21">
        <f t="shared" ca="1" si="89"/>
        <v>6.701860574725016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10.444038098083269</v>
      </c>
      <c r="C512" s="20">
        <f t="shared" ca="1" si="84"/>
        <v>10.843597415144663</v>
      </c>
      <c r="D512" s="21">
        <f t="shared" ref="D512:G531" ca="1" si="92">IF(AND(ISNUMBER($D$1),$F$1&gt;0,ISNUMBER(D$11),D$11&lt;=$H$1),_xlfn.NORM.INV(RAND(),$D$1,SQRT($F$1)),"")</f>
        <v>10.843597415144663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13.301526979054344</v>
      </c>
      <c r="C513" s="20">
        <f t="shared" ca="1" si="84"/>
        <v>8.9994289465786235</v>
      </c>
      <c r="D513" s="21">
        <f t="shared" ca="1" si="92"/>
        <v>8.9994289465786235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9.946129020788625</v>
      </c>
      <c r="C514" s="20">
        <f t="shared" ca="1" si="84"/>
        <v>14.269049301135183</v>
      </c>
      <c r="D514" s="21">
        <f t="shared" ca="1" si="92"/>
        <v>14.269049301135183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10.245482853060039</v>
      </c>
      <c r="C515" s="20">
        <f t="shared" ca="1" si="84"/>
        <v>7.6187627958118629</v>
      </c>
      <c r="D515" s="21">
        <f t="shared" ca="1" si="92"/>
        <v>7.6187627958118629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6.8931640786057624</v>
      </c>
      <c r="C516" s="20">
        <f t="shared" ca="1" si="84"/>
        <v>10.067247462863271</v>
      </c>
      <c r="D516" s="21">
        <f t="shared" ca="1" si="92"/>
        <v>10.067247462863271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10.230913280482111</v>
      </c>
      <c r="C517" s="20">
        <f t="shared" ca="1" si="84"/>
        <v>9.0340086139866731</v>
      </c>
      <c r="D517" s="21">
        <f t="shared" ca="1" si="92"/>
        <v>9.0340086139866731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9.9414272844652292</v>
      </c>
      <c r="C518" s="20">
        <f t="shared" ca="1" si="84"/>
        <v>9.2843030293318378</v>
      </c>
      <c r="D518" s="21">
        <f t="shared" ca="1" si="92"/>
        <v>9.2843030293318378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8.747614603971039</v>
      </c>
      <c r="C519" s="20">
        <f t="shared" ca="1" si="84"/>
        <v>9.833004846971475</v>
      </c>
      <c r="D519" s="21">
        <f t="shared" ca="1" si="92"/>
        <v>9.833004846971475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9.0162639743378161</v>
      </c>
      <c r="C520" s="20">
        <f t="shared" ca="1" si="84"/>
        <v>10.225672689318758</v>
      </c>
      <c r="D520" s="21">
        <f t="shared" ca="1" si="92"/>
        <v>10.225672689318758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9.7040933757860746</v>
      </c>
      <c r="C521" s="20">
        <f t="shared" ca="1" si="84"/>
        <v>9.8958750290179918</v>
      </c>
      <c r="D521" s="21">
        <f t="shared" ca="1" si="92"/>
        <v>9.8958750290179918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10.65801604197538</v>
      </c>
      <c r="C522" s="20">
        <f t="shared" ca="1" si="84"/>
        <v>13.944499104309392</v>
      </c>
      <c r="D522" s="21">
        <f t="shared" ca="1" si="92"/>
        <v>13.944499104309392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7.1629671782026634</v>
      </c>
      <c r="C523" s="20">
        <f t="shared" ca="1" si="84"/>
        <v>11.51383789858663</v>
      </c>
      <c r="D523" s="21">
        <f t="shared" ca="1" si="92"/>
        <v>11.51383789858663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12.453318374363381</v>
      </c>
      <c r="C524" s="20">
        <f t="shared" ca="1" si="84"/>
        <v>7.6795359468180333</v>
      </c>
      <c r="D524" s="21">
        <f t="shared" ca="1" si="92"/>
        <v>7.6795359468180333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10.193506905921483</v>
      </c>
      <c r="C525" s="20">
        <f t="shared" ref="C525:C588" ca="1" si="96">IF(AND($H$1&gt;=1,ISNUMBER(D525)),AVERAGE(D525:W525),"")</f>
        <v>15.028354863611916</v>
      </c>
      <c r="D525" s="21">
        <f t="shared" ca="1" si="92"/>
        <v>15.028354863611916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7.9700207221427082</v>
      </c>
      <c r="C526" s="20">
        <f t="shared" ca="1" si="96"/>
        <v>7.4114445289815762</v>
      </c>
      <c r="D526" s="21">
        <f t="shared" ca="1" si="92"/>
        <v>7.4114445289815762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7.5955432921999542</v>
      </c>
      <c r="C527" s="20">
        <f t="shared" ca="1" si="96"/>
        <v>10.492771330127654</v>
      </c>
      <c r="D527" s="21">
        <f t="shared" ca="1" si="92"/>
        <v>10.492771330127654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9.4765587730077474</v>
      </c>
      <c r="C528" s="20">
        <f t="shared" ca="1" si="96"/>
        <v>13.228990869331195</v>
      </c>
      <c r="D528" s="21">
        <f t="shared" ca="1" si="92"/>
        <v>13.228990869331195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9.0912929641576863</v>
      </c>
      <c r="C529" s="20">
        <f t="shared" ca="1" si="96"/>
        <v>11.058811676434949</v>
      </c>
      <c r="D529" s="21">
        <f t="shared" ca="1" si="92"/>
        <v>11.058811676434949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8.9958777577159079</v>
      </c>
      <c r="C530" s="20">
        <f t="shared" ca="1" si="96"/>
        <v>8.6390184616973329</v>
      </c>
      <c r="D530" s="21">
        <f t="shared" ca="1" si="92"/>
        <v>8.6390184616973329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11.879070870950327</v>
      </c>
      <c r="C531" s="20">
        <f t="shared" ca="1" si="96"/>
        <v>11.582564815491519</v>
      </c>
      <c r="D531" s="21">
        <f t="shared" ca="1" si="92"/>
        <v>11.582564815491519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10.943057600893665</v>
      </c>
      <c r="C532" s="20">
        <f t="shared" ca="1" si="96"/>
        <v>13.028204361264178</v>
      </c>
      <c r="D532" s="21">
        <f t="shared" ref="D532:G551" ca="1" si="97">IF(AND(ISNUMBER($D$1),$F$1&gt;0,ISNUMBER(D$11),D$11&lt;=$H$1),_xlfn.NORM.INV(RAND(),$D$1,SQRT($F$1)),"")</f>
        <v>13.028204361264178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12.730984436341256</v>
      </c>
      <c r="C533" s="20">
        <f t="shared" ca="1" si="96"/>
        <v>8.5144022787055214</v>
      </c>
      <c r="D533" s="21">
        <f t="shared" ca="1" si="97"/>
        <v>8.5144022787055214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9.780778863801423</v>
      </c>
      <c r="C534" s="20">
        <f t="shared" ca="1" si="96"/>
        <v>11.627366600399071</v>
      </c>
      <c r="D534" s="21">
        <f t="shared" ca="1" si="97"/>
        <v>11.627366600399071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6.9398063856072625</v>
      </c>
      <c r="C535" s="20">
        <f t="shared" ca="1" si="96"/>
        <v>12.123810899362814</v>
      </c>
      <c r="D535" s="21">
        <f t="shared" ca="1" si="97"/>
        <v>12.123810899362814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7.7517640926981493</v>
      </c>
      <c r="C536" s="20">
        <f t="shared" ca="1" si="96"/>
        <v>6.0859065226998013</v>
      </c>
      <c r="D536" s="21">
        <f t="shared" ca="1" si="97"/>
        <v>6.0859065226998013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11.476133118882283</v>
      </c>
      <c r="C537" s="20">
        <f t="shared" ca="1" si="96"/>
        <v>14.700196497758068</v>
      </c>
      <c r="D537" s="21">
        <f t="shared" ca="1" si="97"/>
        <v>14.700196497758068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7.4725036929609505</v>
      </c>
      <c r="C538" s="20">
        <f t="shared" ca="1" si="96"/>
        <v>9.6088189391407557</v>
      </c>
      <c r="D538" s="21">
        <f t="shared" ca="1" si="97"/>
        <v>9.6088189391407557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10.080271877209192</v>
      </c>
      <c r="C539" s="20">
        <f t="shared" ca="1" si="96"/>
        <v>4.4728151004776837</v>
      </c>
      <c r="D539" s="21">
        <f t="shared" ca="1" si="97"/>
        <v>4.4728151004776837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8.0417688005021013</v>
      </c>
      <c r="C540" s="20">
        <f t="shared" ca="1" si="96"/>
        <v>12.179094448840324</v>
      </c>
      <c r="D540" s="21">
        <f t="shared" ca="1" si="97"/>
        <v>12.179094448840324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8.6882564027481468</v>
      </c>
      <c r="C541" s="20">
        <f t="shared" ca="1" si="96"/>
        <v>11.352890382838551</v>
      </c>
      <c r="D541" s="21">
        <f t="shared" ca="1" si="97"/>
        <v>11.352890382838551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9.0511809970616319</v>
      </c>
      <c r="C542" s="20">
        <f t="shared" ca="1" si="96"/>
        <v>9.3314021089818926</v>
      </c>
      <c r="D542" s="21">
        <f t="shared" ca="1" si="97"/>
        <v>9.3314021089818926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9.8367146798103722</v>
      </c>
      <c r="C543" s="20">
        <f t="shared" ca="1" si="96"/>
        <v>9.5086849975832735</v>
      </c>
      <c r="D543" s="21">
        <f t="shared" ca="1" si="97"/>
        <v>9.5086849975832735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10.761171580389105</v>
      </c>
      <c r="C544" s="20">
        <f t="shared" ca="1" si="96"/>
        <v>7.6457610357620194</v>
      </c>
      <c r="D544" s="21">
        <f t="shared" ca="1" si="97"/>
        <v>7.6457610357620194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10.351058460636441</v>
      </c>
      <c r="C545" s="20">
        <f t="shared" ca="1" si="96"/>
        <v>12.197983869145455</v>
      </c>
      <c r="D545" s="21">
        <f t="shared" ca="1" si="97"/>
        <v>12.197983869145455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8.4740372242466364</v>
      </c>
      <c r="C546" s="20">
        <f t="shared" ca="1" si="96"/>
        <v>8.6962503409333713</v>
      </c>
      <c r="D546" s="21">
        <f t="shared" ca="1" si="97"/>
        <v>8.6962503409333713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9.9366470243869678</v>
      </c>
      <c r="C547" s="20">
        <f t="shared" ca="1" si="96"/>
        <v>11.171373177493212</v>
      </c>
      <c r="D547" s="21">
        <f t="shared" ca="1" si="97"/>
        <v>11.171373177493212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9.5760796122287637</v>
      </c>
      <c r="C548" s="20">
        <f t="shared" ca="1" si="96"/>
        <v>12.979799328912707</v>
      </c>
      <c r="D548" s="21">
        <f t="shared" ca="1" si="97"/>
        <v>12.979799328912707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11.316275243453124</v>
      </c>
      <c r="C549" s="20">
        <f t="shared" ca="1" si="96"/>
        <v>9.9066889059193688</v>
      </c>
      <c r="D549" s="21">
        <f t="shared" ca="1" si="97"/>
        <v>9.9066889059193688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11.983751197111514</v>
      </c>
      <c r="C550" s="20">
        <f t="shared" ca="1" si="96"/>
        <v>12.515471730291505</v>
      </c>
      <c r="D550" s="21">
        <f t="shared" ca="1" si="97"/>
        <v>12.515471730291505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11.704127603943261</v>
      </c>
      <c r="C551" s="20">
        <f t="shared" ca="1" si="96"/>
        <v>8.3656707051384416</v>
      </c>
      <c r="D551" s="21">
        <f t="shared" ca="1" si="97"/>
        <v>8.3656707051384416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10.045792680471468</v>
      </c>
      <c r="C552" s="20">
        <f t="shared" ca="1" si="96"/>
        <v>11.278533287010806</v>
      </c>
      <c r="D552" s="21">
        <f t="shared" ref="D552:G571" ca="1" si="100">IF(AND(ISNUMBER($D$1),$F$1&gt;0,ISNUMBER(D$11),D$11&lt;=$H$1),_xlfn.NORM.INV(RAND(),$D$1,SQRT($F$1)),"")</f>
        <v>11.278533287010806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9.3032830909595621</v>
      </c>
      <c r="C553" s="20">
        <f t="shared" ca="1" si="96"/>
        <v>11.375839835696127</v>
      </c>
      <c r="D553" s="21">
        <f t="shared" ca="1" si="100"/>
        <v>11.375839835696127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8.6612125340476034</v>
      </c>
      <c r="C554" s="20">
        <f t="shared" ca="1" si="96"/>
        <v>8.9131906849890754</v>
      </c>
      <c r="D554" s="21">
        <f t="shared" ca="1" si="100"/>
        <v>8.9131906849890754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11.744355284552967</v>
      </c>
      <c r="C555" s="20">
        <f t="shared" ca="1" si="96"/>
        <v>7.2982965107652182</v>
      </c>
      <c r="D555" s="21">
        <f t="shared" ca="1" si="100"/>
        <v>7.2982965107652182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11.775444745916593</v>
      </c>
      <c r="C556" s="20">
        <f t="shared" ca="1" si="96"/>
        <v>10.553943592570581</v>
      </c>
      <c r="D556" s="21">
        <f t="shared" ca="1" si="100"/>
        <v>10.553943592570581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10.41067336214684</v>
      </c>
      <c r="C557" s="20">
        <f t="shared" ca="1" si="96"/>
        <v>8.6222606201726606</v>
      </c>
      <c r="D557" s="21">
        <f t="shared" ca="1" si="100"/>
        <v>8.6222606201726606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9.8273855304329274</v>
      </c>
      <c r="C558" s="20">
        <f t="shared" ca="1" si="96"/>
        <v>10.73770661430075</v>
      </c>
      <c r="D558" s="21">
        <f t="shared" ca="1" si="100"/>
        <v>10.73770661430075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9.4780712321801399</v>
      </c>
      <c r="C559" s="20">
        <f t="shared" ca="1" si="96"/>
        <v>8.9438003444644245</v>
      </c>
      <c r="D559" s="21">
        <f t="shared" ca="1" si="100"/>
        <v>8.9438003444644245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11.357884064124114</v>
      </c>
      <c r="C560" s="20">
        <f t="shared" ca="1" si="96"/>
        <v>9.8926047381131994</v>
      </c>
      <c r="D560" s="21">
        <f t="shared" ca="1" si="100"/>
        <v>9.8926047381131994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9.4767717900928936</v>
      </c>
      <c r="C561" s="20">
        <f t="shared" ca="1" si="96"/>
        <v>7.588004676454851</v>
      </c>
      <c r="D561" s="21">
        <f t="shared" ca="1" si="100"/>
        <v>7.588004676454851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7.8591633907193827</v>
      </c>
      <c r="C562" s="20">
        <f t="shared" ca="1" si="96"/>
        <v>12.449565841484519</v>
      </c>
      <c r="D562" s="21">
        <f t="shared" ca="1" si="100"/>
        <v>12.449565841484519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15.487177414328912</v>
      </c>
      <c r="C563" s="20">
        <f t="shared" ca="1" si="96"/>
        <v>8.0330558630029572</v>
      </c>
      <c r="D563" s="21">
        <f t="shared" ca="1" si="100"/>
        <v>8.0330558630029572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8.8225499384105248</v>
      </c>
      <c r="C564" s="20">
        <f t="shared" ca="1" si="96"/>
        <v>7.8484685882180827</v>
      </c>
      <c r="D564" s="21">
        <f t="shared" ca="1" si="100"/>
        <v>7.8484685882180827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11.810786850464758</v>
      </c>
      <c r="C565" s="20">
        <f t="shared" ca="1" si="96"/>
        <v>11.988908403923769</v>
      </c>
      <c r="D565" s="21">
        <f t="shared" ca="1" si="100"/>
        <v>11.988908403923769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9.9556630407777007</v>
      </c>
      <c r="C566" s="20">
        <f t="shared" ca="1" si="96"/>
        <v>11.357036234527364</v>
      </c>
      <c r="D566" s="21">
        <f t="shared" ca="1" si="100"/>
        <v>11.357036234527364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9.1995959850530102</v>
      </c>
      <c r="C567" s="20">
        <f t="shared" ca="1" si="96"/>
        <v>13.152963119434656</v>
      </c>
      <c r="D567" s="21">
        <f t="shared" ca="1" si="100"/>
        <v>13.152963119434656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9.6813791987865727</v>
      </c>
      <c r="C568" s="20">
        <f t="shared" ca="1" si="96"/>
        <v>11.421035277675191</v>
      </c>
      <c r="D568" s="21">
        <f t="shared" ca="1" si="100"/>
        <v>11.421035277675191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9.7194086975096869</v>
      </c>
      <c r="C569" s="20">
        <f t="shared" ca="1" si="96"/>
        <v>11.164528029740886</v>
      </c>
      <c r="D569" s="21">
        <f t="shared" ca="1" si="100"/>
        <v>11.164528029740886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13.312919926212864</v>
      </c>
      <c r="C570" s="20">
        <f t="shared" ca="1" si="96"/>
        <v>9.8819373790550884</v>
      </c>
      <c r="D570" s="21">
        <f t="shared" ca="1" si="100"/>
        <v>9.8819373790550884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7.3819750474788801</v>
      </c>
      <c r="C571" s="20">
        <f t="shared" ca="1" si="96"/>
        <v>9.7004098673441028</v>
      </c>
      <c r="D571" s="21">
        <f t="shared" ca="1" si="100"/>
        <v>9.7004098673441028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5.8808989070555073</v>
      </c>
      <c r="C572" s="20">
        <f t="shared" ca="1" si="96"/>
        <v>10.904147257841402</v>
      </c>
      <c r="D572" s="21">
        <f t="shared" ref="D572:G591" ca="1" si="103">IF(AND(ISNUMBER($D$1),$F$1&gt;0,ISNUMBER(D$11),D$11&lt;=$H$1),_xlfn.NORM.INV(RAND(),$D$1,SQRT($F$1)),"")</f>
        <v>10.904147257841402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8.5879038785720248</v>
      </c>
      <c r="C573" s="20">
        <f t="shared" ca="1" si="96"/>
        <v>11.942671036724091</v>
      </c>
      <c r="D573" s="21">
        <f t="shared" ca="1" si="103"/>
        <v>11.942671036724091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12.55859303329558</v>
      </c>
      <c r="C574" s="20">
        <f t="shared" ca="1" si="96"/>
        <v>10.083927749317688</v>
      </c>
      <c r="D574" s="21">
        <f t="shared" ca="1" si="103"/>
        <v>10.083927749317688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10.89839130434536</v>
      </c>
      <c r="C575" s="20">
        <f t="shared" ca="1" si="96"/>
        <v>9.1873231032464062</v>
      </c>
      <c r="D575" s="21">
        <f t="shared" ca="1" si="103"/>
        <v>9.1873231032464062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11.303268950600168</v>
      </c>
      <c r="C576" s="20">
        <f t="shared" ca="1" si="96"/>
        <v>8.6675015739182779</v>
      </c>
      <c r="D576" s="21">
        <f t="shared" ca="1" si="103"/>
        <v>8.6675015739182779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10.082563928238994</v>
      </c>
      <c r="C577" s="20">
        <f t="shared" ca="1" si="96"/>
        <v>12.06162819341133</v>
      </c>
      <c r="D577" s="21">
        <f t="shared" ca="1" si="103"/>
        <v>12.06162819341133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12.112188079767225</v>
      </c>
      <c r="C578" s="20">
        <f t="shared" ca="1" si="96"/>
        <v>11.290095834854762</v>
      </c>
      <c r="D578" s="21">
        <f t="shared" ca="1" si="103"/>
        <v>11.290095834854762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8.9621738639789843</v>
      </c>
      <c r="C579" s="20">
        <f t="shared" ca="1" si="96"/>
        <v>12.498002138956718</v>
      </c>
      <c r="D579" s="21">
        <f t="shared" ca="1" si="103"/>
        <v>12.498002138956718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8.0393709301589951</v>
      </c>
      <c r="C580" s="20">
        <f t="shared" ca="1" si="96"/>
        <v>10.488553464357997</v>
      </c>
      <c r="D580" s="21">
        <f t="shared" ca="1" si="103"/>
        <v>10.488553464357997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8.2383973827834041</v>
      </c>
      <c r="C581" s="20">
        <f t="shared" ca="1" si="96"/>
        <v>11.63053985815397</v>
      </c>
      <c r="D581" s="21">
        <f t="shared" ca="1" si="103"/>
        <v>11.63053985815397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12.359646217399449</v>
      </c>
      <c r="C582" s="20">
        <f t="shared" ca="1" si="96"/>
        <v>6.4318003692283057</v>
      </c>
      <c r="D582" s="21">
        <f t="shared" ca="1" si="103"/>
        <v>6.4318003692283057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9.4159375172257427</v>
      </c>
      <c r="C583" s="20">
        <f t="shared" ca="1" si="96"/>
        <v>9.6048071656559522</v>
      </c>
      <c r="D583" s="21">
        <f t="shared" ca="1" si="103"/>
        <v>9.6048071656559522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13.334115213929136</v>
      </c>
      <c r="C584" s="20">
        <f t="shared" ca="1" si="96"/>
        <v>6.4697611833361357</v>
      </c>
      <c r="D584" s="21">
        <f t="shared" ca="1" si="103"/>
        <v>6.4697611833361357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11.165387752413464</v>
      </c>
      <c r="C585" s="20">
        <f t="shared" ca="1" si="96"/>
        <v>10.275054722688095</v>
      </c>
      <c r="D585" s="21">
        <f t="shared" ca="1" si="103"/>
        <v>10.275054722688095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9.3878302616037246</v>
      </c>
      <c r="C586" s="20">
        <f t="shared" ca="1" si="96"/>
        <v>11.775710158589249</v>
      </c>
      <c r="D586" s="21">
        <f t="shared" ca="1" si="103"/>
        <v>11.775710158589249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10.431406640282489</v>
      </c>
      <c r="C587" s="20">
        <f t="shared" ca="1" si="96"/>
        <v>5.6612510195000167</v>
      </c>
      <c r="D587" s="21">
        <f t="shared" ca="1" si="103"/>
        <v>5.6612510195000167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8.2982352415221428</v>
      </c>
      <c r="C588" s="20">
        <f t="shared" ca="1" si="96"/>
        <v>8.4704268819545234</v>
      </c>
      <c r="D588" s="21">
        <f t="shared" ca="1" si="103"/>
        <v>8.4704268819545234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11.780379513525043</v>
      </c>
      <c r="C589" s="20">
        <f t="shared" ref="C589:C652" ca="1" si="107">IF(AND($H$1&gt;=1,ISNUMBER(D589)),AVERAGE(D589:W589),"")</f>
        <v>8.1667413390629182</v>
      </c>
      <c r="D589" s="21">
        <f t="shared" ca="1" si="103"/>
        <v>8.1667413390629182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10.457957344924482</v>
      </c>
      <c r="C590" s="20">
        <f t="shared" ca="1" si="107"/>
        <v>10.531784346430241</v>
      </c>
      <c r="D590" s="21">
        <f t="shared" ca="1" si="103"/>
        <v>10.531784346430241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8.5774995077571088</v>
      </c>
      <c r="C591" s="20">
        <f t="shared" ca="1" si="107"/>
        <v>7.4332375073788715</v>
      </c>
      <c r="D591" s="21">
        <f t="shared" ca="1" si="103"/>
        <v>7.4332375073788715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9.0985648562333417</v>
      </c>
      <c r="C592" s="20">
        <f t="shared" ca="1" si="107"/>
        <v>5.5789863354024964</v>
      </c>
      <c r="D592" s="21">
        <f t="shared" ref="D592:G611" ca="1" si="108">IF(AND(ISNUMBER($D$1),$F$1&gt;0,ISNUMBER(D$11),D$11&lt;=$H$1),_xlfn.NORM.INV(RAND(),$D$1,SQRT($F$1)),"")</f>
        <v>5.5789863354024964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11.643137915976364</v>
      </c>
      <c r="C593" s="20">
        <f t="shared" ca="1" si="107"/>
        <v>8.7062054254767176</v>
      </c>
      <c r="D593" s="21">
        <f t="shared" ca="1" si="108"/>
        <v>8.7062054254767176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9.6705661308028237</v>
      </c>
      <c r="C594" s="20">
        <f t="shared" ca="1" si="107"/>
        <v>9.4548211103342403</v>
      </c>
      <c r="D594" s="21">
        <f t="shared" ca="1" si="108"/>
        <v>9.4548211103342403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12.249773017070391</v>
      </c>
      <c r="C595" s="20">
        <f t="shared" ca="1" si="107"/>
        <v>9.2701224175104553</v>
      </c>
      <c r="D595" s="21">
        <f t="shared" ca="1" si="108"/>
        <v>9.2701224175104553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12.739373675525254</v>
      </c>
      <c r="C596" s="20">
        <f t="shared" ca="1" si="107"/>
        <v>9.7460903828638621</v>
      </c>
      <c r="D596" s="21">
        <f t="shared" ca="1" si="108"/>
        <v>9.7460903828638621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8.7784299822842282</v>
      </c>
      <c r="C597" s="20">
        <f t="shared" ca="1" si="107"/>
        <v>12.188719433073645</v>
      </c>
      <c r="D597" s="21">
        <f t="shared" ca="1" si="108"/>
        <v>12.188719433073645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7.7567333713363631</v>
      </c>
      <c r="C598" s="20">
        <f t="shared" ca="1" si="107"/>
        <v>9.3153373996062445</v>
      </c>
      <c r="D598" s="21">
        <f t="shared" ca="1" si="108"/>
        <v>9.3153373996062445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11.151065666529638</v>
      </c>
      <c r="C599" s="20">
        <f t="shared" ca="1" si="107"/>
        <v>7.3623650579035305</v>
      </c>
      <c r="D599" s="21">
        <f t="shared" ca="1" si="108"/>
        <v>7.3623650579035305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8.4557213572976551</v>
      </c>
      <c r="C600" s="20">
        <f t="shared" ca="1" si="107"/>
        <v>12.298084457609042</v>
      </c>
      <c r="D600" s="21">
        <f t="shared" ca="1" si="108"/>
        <v>12.298084457609042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11.696863650466799</v>
      </c>
      <c r="C601" s="20">
        <f t="shared" ca="1" si="107"/>
        <v>10.158537830967576</v>
      </c>
      <c r="D601" s="21">
        <f t="shared" ca="1" si="108"/>
        <v>10.158537830967576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12.545705192719645</v>
      </c>
      <c r="C602" s="20">
        <f t="shared" ca="1" si="107"/>
        <v>8.2807790741487484</v>
      </c>
      <c r="D602" s="21">
        <f t="shared" ca="1" si="108"/>
        <v>8.2807790741487484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11.76168442091247</v>
      </c>
      <c r="C603" s="20">
        <f t="shared" ca="1" si="107"/>
        <v>13.949757596389556</v>
      </c>
      <c r="D603" s="21">
        <f t="shared" ca="1" si="108"/>
        <v>13.949757596389556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10.804809817407511</v>
      </c>
      <c r="C604" s="20">
        <f t="shared" ca="1" si="107"/>
        <v>10.687077912251965</v>
      </c>
      <c r="D604" s="21">
        <f t="shared" ca="1" si="108"/>
        <v>10.687077912251965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12.699119336009021</v>
      </c>
      <c r="C605" s="20">
        <f t="shared" ca="1" si="107"/>
        <v>9.0501348060650582</v>
      </c>
      <c r="D605" s="21">
        <f t="shared" ca="1" si="108"/>
        <v>9.0501348060650582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9.9705008690215493</v>
      </c>
      <c r="C606" s="20">
        <f t="shared" ca="1" si="107"/>
        <v>7.7888724808054954</v>
      </c>
      <c r="D606" s="21">
        <f t="shared" ca="1" si="108"/>
        <v>7.7888724808054954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10.797981608670852</v>
      </c>
      <c r="C607" s="20">
        <f t="shared" ca="1" si="107"/>
        <v>9.1167717911508035</v>
      </c>
      <c r="D607" s="21">
        <f t="shared" ca="1" si="108"/>
        <v>9.1167717911508035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11.70685493130442</v>
      </c>
      <c r="C608" s="20">
        <f t="shared" ca="1" si="107"/>
        <v>13.519237658767699</v>
      </c>
      <c r="D608" s="21">
        <f t="shared" ca="1" si="108"/>
        <v>13.519237658767699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7.4164380216523149</v>
      </c>
      <c r="C609" s="20">
        <f t="shared" ca="1" si="107"/>
        <v>9.1741034597426268</v>
      </c>
      <c r="D609" s="21">
        <f t="shared" ca="1" si="108"/>
        <v>9.1741034597426268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10.546576190239499</v>
      </c>
      <c r="C610" s="20">
        <f t="shared" ca="1" si="107"/>
        <v>7.6142797215881082</v>
      </c>
      <c r="D610" s="21">
        <f t="shared" ca="1" si="108"/>
        <v>7.6142797215881082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10.695081261054913</v>
      </c>
      <c r="C611" s="20">
        <f t="shared" ca="1" si="107"/>
        <v>9.7976184586239565</v>
      </c>
      <c r="D611" s="21">
        <f t="shared" ca="1" si="108"/>
        <v>9.7976184586239565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10.267642752012012</v>
      </c>
      <c r="C612" s="20">
        <f t="shared" ca="1" si="107"/>
        <v>11.54552042795518</v>
      </c>
      <c r="D612" s="21">
        <f t="shared" ref="D612:G631" ca="1" si="111">IF(AND(ISNUMBER($D$1),$F$1&gt;0,ISNUMBER(D$11),D$11&lt;=$H$1),_xlfn.NORM.INV(RAND(),$D$1,SQRT($F$1)),"")</f>
        <v>11.54552042795518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12.512554618696901</v>
      </c>
      <c r="C613" s="20">
        <f t="shared" ca="1" si="107"/>
        <v>8.6531433968809282</v>
      </c>
      <c r="D613" s="21">
        <f t="shared" ca="1" si="111"/>
        <v>8.6531433968809282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11.112827309468759</v>
      </c>
      <c r="C614" s="20">
        <f t="shared" ca="1" si="107"/>
        <v>11.346949975309581</v>
      </c>
      <c r="D614" s="21">
        <f t="shared" ca="1" si="111"/>
        <v>11.346949975309581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13.254578388820752</v>
      </c>
      <c r="C615" s="20">
        <f t="shared" ca="1" si="107"/>
        <v>13.475469114097056</v>
      </c>
      <c r="D615" s="21">
        <f t="shared" ca="1" si="111"/>
        <v>13.475469114097056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11.543236419122104</v>
      </c>
      <c r="C616" s="20">
        <f t="shared" ca="1" si="107"/>
        <v>8.5763794329870553</v>
      </c>
      <c r="D616" s="21">
        <f t="shared" ca="1" si="111"/>
        <v>8.5763794329870553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12.499400399242429</v>
      </c>
      <c r="C617" s="20">
        <f t="shared" ca="1" si="107"/>
        <v>8.2974928722860248</v>
      </c>
      <c r="D617" s="21">
        <f t="shared" ca="1" si="111"/>
        <v>8.2974928722860248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10.528215091187088</v>
      </c>
      <c r="C618" s="20">
        <f t="shared" ca="1" si="107"/>
        <v>7.6869090343081385</v>
      </c>
      <c r="D618" s="21">
        <f t="shared" ca="1" si="111"/>
        <v>7.6869090343081385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11.723658352700159</v>
      </c>
      <c r="C619" s="20">
        <f t="shared" ca="1" si="107"/>
        <v>10.616154299584412</v>
      </c>
      <c r="D619" s="21">
        <f t="shared" ca="1" si="111"/>
        <v>10.616154299584412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6.7651819498451093</v>
      </c>
      <c r="C620" s="20">
        <f t="shared" ca="1" si="107"/>
        <v>11.225498650413966</v>
      </c>
      <c r="D620" s="21">
        <f t="shared" ca="1" si="111"/>
        <v>11.225498650413966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11.641521070035452</v>
      </c>
      <c r="C621" s="20">
        <f t="shared" ca="1" si="107"/>
        <v>11.155785545229707</v>
      </c>
      <c r="D621" s="21">
        <f t="shared" ca="1" si="111"/>
        <v>11.155785545229707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11.444476672231948</v>
      </c>
      <c r="C622" s="20">
        <f t="shared" ca="1" si="107"/>
        <v>8.1013354277888627</v>
      </c>
      <c r="D622" s="21">
        <f t="shared" ca="1" si="111"/>
        <v>8.1013354277888627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7.9604093968556571</v>
      </c>
      <c r="C623" s="20">
        <f t="shared" ca="1" si="107"/>
        <v>11.515676896949387</v>
      </c>
      <c r="D623" s="21">
        <f t="shared" ca="1" si="111"/>
        <v>11.515676896949387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10.920341857360606</v>
      </c>
      <c r="C624" s="20">
        <f t="shared" ca="1" si="107"/>
        <v>12.594581915729007</v>
      </c>
      <c r="D624" s="21">
        <f t="shared" ca="1" si="111"/>
        <v>12.594581915729007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8.2503288588062631</v>
      </c>
      <c r="C625" s="20">
        <f t="shared" ca="1" si="107"/>
        <v>11.982406363276739</v>
      </c>
      <c r="D625" s="21">
        <f t="shared" ca="1" si="111"/>
        <v>11.982406363276739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11.229049307259839</v>
      </c>
      <c r="C626" s="20">
        <f t="shared" ca="1" si="107"/>
        <v>8.3193031837639477</v>
      </c>
      <c r="D626" s="21">
        <f t="shared" ca="1" si="111"/>
        <v>8.3193031837639477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10.173763193403261</v>
      </c>
      <c r="C627" s="20">
        <f t="shared" ca="1" si="107"/>
        <v>12.170714365749467</v>
      </c>
      <c r="D627" s="21">
        <f t="shared" ca="1" si="111"/>
        <v>12.170714365749467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9.3264299950667606</v>
      </c>
      <c r="C628" s="20">
        <f t="shared" ca="1" si="107"/>
        <v>9.7489009608463579</v>
      </c>
      <c r="D628" s="21">
        <f t="shared" ca="1" si="111"/>
        <v>9.7489009608463579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9.2206012457977362</v>
      </c>
      <c r="C629" s="20">
        <f t="shared" ca="1" si="107"/>
        <v>5.5801868160403751</v>
      </c>
      <c r="D629" s="21">
        <f t="shared" ca="1" si="111"/>
        <v>5.5801868160403751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9.8401798165158212</v>
      </c>
      <c r="C630" s="20">
        <f t="shared" ca="1" si="107"/>
        <v>7.436873588812464</v>
      </c>
      <c r="D630" s="21">
        <f t="shared" ca="1" si="111"/>
        <v>7.436873588812464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12.545197501619947</v>
      </c>
      <c r="C631" s="20">
        <f t="shared" ca="1" si="107"/>
        <v>10.832999095909408</v>
      </c>
      <c r="D631" s="21">
        <f t="shared" ca="1" si="111"/>
        <v>10.832999095909408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7.6274889767515681</v>
      </c>
      <c r="C632" s="20">
        <f t="shared" ca="1" si="107"/>
        <v>11.119363284760443</v>
      </c>
      <c r="D632" s="21">
        <f t="shared" ref="D632:G651" ca="1" si="114">IF(AND(ISNUMBER($D$1),$F$1&gt;0,ISNUMBER(D$11),D$11&lt;=$H$1),_xlfn.NORM.INV(RAND(),$D$1,SQRT($F$1)),"")</f>
        <v>11.119363284760443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8.6269007797816464</v>
      </c>
      <c r="C633" s="20">
        <f t="shared" ca="1" si="107"/>
        <v>12.488433399792314</v>
      </c>
      <c r="D633" s="21">
        <f t="shared" ca="1" si="114"/>
        <v>12.488433399792314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10.952426904035052</v>
      </c>
      <c r="C634" s="20">
        <f t="shared" ca="1" si="107"/>
        <v>7.9888270308445239</v>
      </c>
      <c r="D634" s="21">
        <f t="shared" ca="1" si="114"/>
        <v>7.9888270308445239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9.1472480133160161</v>
      </c>
      <c r="C635" s="20">
        <f t="shared" ca="1" si="107"/>
        <v>9.1519479684140119</v>
      </c>
      <c r="D635" s="21">
        <f t="shared" ca="1" si="114"/>
        <v>9.1519479684140119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9.0261989201758048</v>
      </c>
      <c r="C636" s="20">
        <f t="shared" ca="1" si="107"/>
        <v>13.045561260683163</v>
      </c>
      <c r="D636" s="21">
        <f t="shared" ca="1" si="114"/>
        <v>13.045561260683163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9.239596448863356</v>
      </c>
      <c r="C637" s="20">
        <f t="shared" ca="1" si="107"/>
        <v>13.093555460588442</v>
      </c>
      <c r="D637" s="21">
        <f t="shared" ca="1" si="114"/>
        <v>13.093555460588442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11.50401319435305</v>
      </c>
      <c r="C638" s="20">
        <f t="shared" ca="1" si="107"/>
        <v>9.2103038893612545</v>
      </c>
      <c r="D638" s="21">
        <f t="shared" ca="1" si="114"/>
        <v>9.2103038893612545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13.585467628547818</v>
      </c>
      <c r="C639" s="20">
        <f t="shared" ca="1" si="107"/>
        <v>11.879288627046826</v>
      </c>
      <c r="D639" s="21">
        <f t="shared" ca="1" si="114"/>
        <v>11.879288627046826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11.780566182963712</v>
      </c>
      <c r="C640" s="20">
        <f t="shared" ca="1" si="107"/>
        <v>13.971130654853937</v>
      </c>
      <c r="D640" s="21">
        <f t="shared" ca="1" si="114"/>
        <v>13.971130654853937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9.0704906259375484</v>
      </c>
      <c r="C641" s="20">
        <f t="shared" ca="1" si="107"/>
        <v>8.8552892038378577</v>
      </c>
      <c r="D641" s="21">
        <f t="shared" ca="1" si="114"/>
        <v>8.8552892038378577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12.298288164847961</v>
      </c>
      <c r="C642" s="20">
        <f t="shared" ca="1" si="107"/>
        <v>10.331936414977349</v>
      </c>
      <c r="D642" s="21">
        <f t="shared" ca="1" si="114"/>
        <v>10.331936414977349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12.747231668642563</v>
      </c>
      <c r="C643" s="20">
        <f t="shared" ca="1" si="107"/>
        <v>10.734017977122173</v>
      </c>
      <c r="D643" s="21">
        <f t="shared" ca="1" si="114"/>
        <v>10.734017977122173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13.069637763575498</v>
      </c>
      <c r="C644" s="20">
        <f t="shared" ca="1" si="107"/>
        <v>11.688757573935808</v>
      </c>
      <c r="D644" s="21">
        <f t="shared" ca="1" si="114"/>
        <v>11.688757573935808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8.5464597841696275</v>
      </c>
      <c r="C645" s="20">
        <f t="shared" ca="1" si="107"/>
        <v>6.269060630699455</v>
      </c>
      <c r="D645" s="21">
        <f t="shared" ca="1" si="114"/>
        <v>6.269060630699455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10.258788537399392</v>
      </c>
      <c r="C646" s="20">
        <f t="shared" ca="1" si="107"/>
        <v>7.6672964237914893</v>
      </c>
      <c r="D646" s="21">
        <f t="shared" ca="1" si="114"/>
        <v>7.6672964237914893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8.6560842017841821</v>
      </c>
      <c r="C647" s="20">
        <f t="shared" ca="1" si="107"/>
        <v>9.3073277623704787</v>
      </c>
      <c r="D647" s="21">
        <f t="shared" ca="1" si="114"/>
        <v>9.3073277623704787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9.3139362075597578</v>
      </c>
      <c r="C648" s="20">
        <f t="shared" ca="1" si="107"/>
        <v>8.0100882615544027</v>
      </c>
      <c r="D648" s="21">
        <f t="shared" ca="1" si="114"/>
        <v>8.0100882615544027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12.277833610415374</v>
      </c>
      <c r="C649" s="20">
        <f t="shared" ca="1" si="107"/>
        <v>10.164931533706627</v>
      </c>
      <c r="D649" s="21">
        <f t="shared" ca="1" si="114"/>
        <v>10.164931533706627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8.5043132590732089</v>
      </c>
      <c r="C650" s="20">
        <f t="shared" ca="1" si="107"/>
        <v>8.8614932815609126</v>
      </c>
      <c r="D650" s="21">
        <f t="shared" ca="1" si="114"/>
        <v>8.8614932815609126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10.915409816101834</v>
      </c>
      <c r="C651" s="20">
        <f t="shared" ca="1" si="107"/>
        <v>10.771900514885841</v>
      </c>
      <c r="D651" s="21">
        <f t="shared" ca="1" si="114"/>
        <v>10.771900514885841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7.9950632471522658</v>
      </c>
      <c r="C652" s="20">
        <f t="shared" ca="1" si="107"/>
        <v>5.8136490366039082</v>
      </c>
      <c r="D652" s="21">
        <f t="shared" ref="D652:G671" ca="1" si="117">IF(AND(ISNUMBER($D$1),$F$1&gt;0,ISNUMBER(D$11),D$11&lt;=$H$1),_xlfn.NORM.INV(RAND(),$D$1,SQRT($F$1)),"")</f>
        <v>5.8136490366039082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12.460724306707265</v>
      </c>
      <c r="C653" s="20">
        <f t="shared" ref="C653:C716" ca="1" si="120">IF(AND($H$1&gt;=1,ISNUMBER(D653)),AVERAGE(D653:W653),"")</f>
        <v>11.333366580245116</v>
      </c>
      <c r="D653" s="21">
        <f t="shared" ca="1" si="117"/>
        <v>11.333366580245116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12.420584765828529</v>
      </c>
      <c r="C654" s="20">
        <f t="shared" ca="1" si="120"/>
        <v>11.119405097405757</v>
      </c>
      <c r="D654" s="21">
        <f t="shared" ca="1" si="117"/>
        <v>11.119405097405757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9.7311844814110167</v>
      </c>
      <c r="C655" s="20">
        <f t="shared" ca="1" si="120"/>
        <v>13.378516903651137</v>
      </c>
      <c r="D655" s="21">
        <f t="shared" ca="1" si="117"/>
        <v>13.378516903651137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10.351963840223904</v>
      </c>
      <c r="C656" s="20">
        <f t="shared" ca="1" si="120"/>
        <v>12.049562529378107</v>
      </c>
      <c r="D656" s="21">
        <f t="shared" ca="1" si="117"/>
        <v>12.049562529378107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12.272603726364405</v>
      </c>
      <c r="C657" s="20">
        <f t="shared" ca="1" si="120"/>
        <v>10.135662586313725</v>
      </c>
      <c r="D657" s="21">
        <f t="shared" ca="1" si="117"/>
        <v>10.135662586313725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7.1374784303359089</v>
      </c>
      <c r="C658" s="20">
        <f t="shared" ca="1" si="120"/>
        <v>5.4627544657524085</v>
      </c>
      <c r="D658" s="21">
        <f t="shared" ca="1" si="117"/>
        <v>5.4627544657524085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11.319088492110302</v>
      </c>
      <c r="C659" s="20">
        <f t="shared" ca="1" si="120"/>
        <v>10.240474687633832</v>
      </c>
      <c r="D659" s="21">
        <f t="shared" ca="1" si="117"/>
        <v>10.240474687633832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8.7328133662701948</v>
      </c>
      <c r="C660" s="20">
        <f t="shared" ca="1" si="120"/>
        <v>14.783664913720223</v>
      </c>
      <c r="D660" s="21">
        <f t="shared" ca="1" si="117"/>
        <v>14.783664913720223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10.721067047960263</v>
      </c>
      <c r="C661" s="20">
        <f t="shared" ca="1" si="120"/>
        <v>8.8011027211686645</v>
      </c>
      <c r="D661" s="21">
        <f t="shared" ca="1" si="117"/>
        <v>8.8011027211686645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4.3369390301029247</v>
      </c>
      <c r="C662" s="20">
        <f t="shared" ca="1" si="120"/>
        <v>8.6418621363632493</v>
      </c>
      <c r="D662" s="21">
        <f t="shared" ca="1" si="117"/>
        <v>8.6418621363632493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6.529988641909787</v>
      </c>
      <c r="C663" s="20">
        <f t="shared" ca="1" si="120"/>
        <v>7.4812015568007242</v>
      </c>
      <c r="D663" s="21">
        <f t="shared" ca="1" si="117"/>
        <v>7.4812015568007242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7.3883803302313158</v>
      </c>
      <c r="C664" s="20">
        <f t="shared" ca="1" si="120"/>
        <v>8.0970252518096117</v>
      </c>
      <c r="D664" s="21">
        <f t="shared" ca="1" si="117"/>
        <v>8.0970252518096117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8.5351320235392638</v>
      </c>
      <c r="C665" s="20">
        <f t="shared" ca="1" si="120"/>
        <v>11.257443833424686</v>
      </c>
      <c r="D665" s="21">
        <f t="shared" ca="1" si="117"/>
        <v>11.257443833424686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11.228877852788937</v>
      </c>
      <c r="C666" s="20">
        <f t="shared" ca="1" si="120"/>
        <v>9.0317725725081797</v>
      </c>
      <c r="D666" s="21">
        <f t="shared" ca="1" si="117"/>
        <v>9.0317725725081797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9.8401683498342862</v>
      </c>
      <c r="C667" s="20">
        <f t="shared" ca="1" si="120"/>
        <v>5.75373759461357</v>
      </c>
      <c r="D667" s="21">
        <f t="shared" ca="1" si="117"/>
        <v>5.75373759461357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7.9125271176188336</v>
      </c>
      <c r="C668" s="20">
        <f t="shared" ca="1" si="120"/>
        <v>9.1316616021607011</v>
      </c>
      <c r="D668" s="21">
        <f t="shared" ca="1" si="117"/>
        <v>9.1316616021607011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8.2429971484122859</v>
      </c>
      <c r="C669" s="20">
        <f t="shared" ca="1" si="120"/>
        <v>13.885523550388388</v>
      </c>
      <c r="D669" s="21">
        <f t="shared" ca="1" si="117"/>
        <v>13.885523550388388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12.331707843673637</v>
      </c>
      <c r="C670" s="20">
        <f t="shared" ca="1" si="120"/>
        <v>9.0977093161956741</v>
      </c>
      <c r="D670" s="21">
        <f t="shared" ca="1" si="117"/>
        <v>9.0977093161956741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12.01878579776781</v>
      </c>
      <c r="C671" s="20">
        <f t="shared" ca="1" si="120"/>
        <v>9.4946318349407122</v>
      </c>
      <c r="D671" s="21">
        <f t="shared" ca="1" si="117"/>
        <v>9.4946318349407122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11.005913190883883</v>
      </c>
      <c r="C672" s="20">
        <f t="shared" ca="1" si="120"/>
        <v>8.8981421954643345</v>
      </c>
      <c r="D672" s="21">
        <f t="shared" ref="D672:G691" ca="1" si="122">IF(AND(ISNUMBER($D$1),$F$1&gt;0,ISNUMBER(D$11),D$11&lt;=$H$1),_xlfn.NORM.INV(RAND(),$D$1,SQRT($F$1)),"")</f>
        <v>8.8981421954643345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7.9968718343522323</v>
      </c>
      <c r="C673" s="20">
        <f t="shared" ca="1" si="120"/>
        <v>10.303229294318253</v>
      </c>
      <c r="D673" s="21">
        <f t="shared" ca="1" si="122"/>
        <v>10.303229294318253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8.8273194429895323</v>
      </c>
      <c r="C674" s="20">
        <f t="shared" ca="1" si="120"/>
        <v>12.274229636435306</v>
      </c>
      <c r="D674" s="21">
        <f t="shared" ca="1" si="122"/>
        <v>12.274229636435306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9.8392021886978576</v>
      </c>
      <c r="C675" s="20">
        <f t="shared" ca="1" si="120"/>
        <v>12.70366366444145</v>
      </c>
      <c r="D675" s="21">
        <f t="shared" ca="1" si="122"/>
        <v>12.70366366444145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12.079701308142015</v>
      </c>
      <c r="C676" s="20">
        <f t="shared" ca="1" si="120"/>
        <v>5.6029546269548645</v>
      </c>
      <c r="D676" s="21">
        <f t="shared" ca="1" si="122"/>
        <v>5.6029546269548645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8.6516306468639321</v>
      </c>
      <c r="C677" s="20">
        <f t="shared" ca="1" si="120"/>
        <v>4.9566939999608914</v>
      </c>
      <c r="D677" s="21">
        <f t="shared" ca="1" si="122"/>
        <v>4.9566939999608914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10.272836809150592</v>
      </c>
      <c r="C678" s="20">
        <f t="shared" ca="1" si="120"/>
        <v>6.7227696763977125</v>
      </c>
      <c r="D678" s="21">
        <f t="shared" ca="1" si="122"/>
        <v>6.7227696763977125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7.5811157934318185</v>
      </c>
      <c r="C679" s="20">
        <f t="shared" ca="1" si="120"/>
        <v>8.3996968545218298</v>
      </c>
      <c r="D679" s="21">
        <f t="shared" ca="1" si="122"/>
        <v>8.3996968545218298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7.9848486377072803</v>
      </c>
      <c r="C680" s="20">
        <f t="shared" ca="1" si="120"/>
        <v>13.24606683930536</v>
      </c>
      <c r="D680" s="21">
        <f t="shared" ca="1" si="122"/>
        <v>13.24606683930536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11.970569425916176</v>
      </c>
      <c r="C681" s="20">
        <f t="shared" ca="1" si="120"/>
        <v>12.01262669546831</v>
      </c>
      <c r="D681" s="21">
        <f t="shared" ca="1" si="122"/>
        <v>12.01262669546831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6.3515963775545243</v>
      </c>
      <c r="C682" s="20">
        <f t="shared" ca="1" si="120"/>
        <v>14.786884214642981</v>
      </c>
      <c r="D682" s="21">
        <f t="shared" ca="1" si="122"/>
        <v>14.786884214642981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12.334411560892418</v>
      </c>
      <c r="C683" s="20">
        <f t="shared" ca="1" si="120"/>
        <v>8.9108970455024448</v>
      </c>
      <c r="D683" s="21">
        <f t="shared" ca="1" si="122"/>
        <v>8.9108970455024448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11.373580469904368</v>
      </c>
      <c r="C684" s="20">
        <f t="shared" ca="1" si="120"/>
        <v>9.1443336594029638</v>
      </c>
      <c r="D684" s="21">
        <f t="shared" ca="1" si="122"/>
        <v>9.1443336594029638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9.7352889114227708</v>
      </c>
      <c r="C685" s="20">
        <f t="shared" ca="1" si="120"/>
        <v>8.7281665921071721</v>
      </c>
      <c r="D685" s="21">
        <f t="shared" ca="1" si="122"/>
        <v>8.7281665921071721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8.9789702931012112</v>
      </c>
      <c r="C686" s="20">
        <f t="shared" ca="1" si="120"/>
        <v>5.2619289737298907</v>
      </c>
      <c r="D686" s="21">
        <f t="shared" ca="1" si="122"/>
        <v>5.2619289737298907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10.256828365706815</v>
      </c>
      <c r="C687" s="20">
        <f t="shared" ca="1" si="120"/>
        <v>9.8792656908230949</v>
      </c>
      <c r="D687" s="21">
        <f t="shared" ca="1" si="122"/>
        <v>9.8792656908230949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9.5028946177620277</v>
      </c>
      <c r="C688" s="20">
        <f t="shared" ca="1" si="120"/>
        <v>10.927745846006898</v>
      </c>
      <c r="D688" s="21">
        <f t="shared" ca="1" si="122"/>
        <v>10.927745846006898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11.596813882530169</v>
      </c>
      <c r="C689" s="20">
        <f t="shared" ca="1" si="120"/>
        <v>12.448666698594266</v>
      </c>
      <c r="D689" s="21">
        <f t="shared" ca="1" si="122"/>
        <v>12.448666698594266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10.79255004269605</v>
      </c>
      <c r="C690" s="20">
        <f t="shared" ca="1" si="120"/>
        <v>11.727721576695011</v>
      </c>
      <c r="D690" s="21">
        <f t="shared" ca="1" si="122"/>
        <v>11.727721576695011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11.649676273162592</v>
      </c>
      <c r="C691" s="20">
        <f t="shared" ca="1" si="120"/>
        <v>10.616452839038086</v>
      </c>
      <c r="D691" s="21">
        <f t="shared" ca="1" si="122"/>
        <v>10.616452839038086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8.0911333663805785</v>
      </c>
      <c r="C692" s="20">
        <f t="shared" ca="1" si="120"/>
        <v>10.938907756349602</v>
      </c>
      <c r="D692" s="21">
        <f t="shared" ref="D692:G711" ca="1" si="125">IF(AND(ISNUMBER($D$1),$F$1&gt;0,ISNUMBER(D$11),D$11&lt;=$H$1),_xlfn.NORM.INV(RAND(),$D$1,SQRT($F$1)),"")</f>
        <v>10.938907756349602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9.3731969642834052</v>
      </c>
      <c r="C693" s="20">
        <f t="shared" ca="1" si="120"/>
        <v>9.0116869952217282</v>
      </c>
      <c r="D693" s="21">
        <f t="shared" ca="1" si="125"/>
        <v>9.0116869952217282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7.0826733864754434</v>
      </c>
      <c r="C694" s="20">
        <f t="shared" ca="1" si="120"/>
        <v>10.360988733807456</v>
      </c>
      <c r="D694" s="21">
        <f t="shared" ca="1" si="125"/>
        <v>10.360988733807456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6.9990913925403655</v>
      </c>
      <c r="C695" s="20">
        <f t="shared" ca="1" si="120"/>
        <v>10.292062835698836</v>
      </c>
      <c r="D695" s="21">
        <f t="shared" ca="1" si="125"/>
        <v>10.292062835698836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7.2912185216306931</v>
      </c>
      <c r="C696" s="20">
        <f t="shared" ca="1" si="120"/>
        <v>9.8495669314651266</v>
      </c>
      <c r="D696" s="21">
        <f t="shared" ca="1" si="125"/>
        <v>9.8495669314651266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12.095472226451754</v>
      </c>
      <c r="C697" s="20">
        <f t="shared" ca="1" si="120"/>
        <v>14.370103073941397</v>
      </c>
      <c r="D697" s="21">
        <f t="shared" ca="1" si="125"/>
        <v>14.370103073941397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9.0963659186525732</v>
      </c>
      <c r="C698" s="20">
        <f t="shared" ca="1" si="120"/>
        <v>9.2648534772077209</v>
      </c>
      <c r="D698" s="21">
        <f t="shared" ca="1" si="125"/>
        <v>9.2648534772077209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8.5035086042939287</v>
      </c>
      <c r="C699" s="20">
        <f t="shared" ca="1" si="120"/>
        <v>13.660415449241075</v>
      </c>
      <c r="D699" s="21">
        <f t="shared" ca="1" si="125"/>
        <v>13.660415449241075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9.5469034385698208</v>
      </c>
      <c r="C700" s="20">
        <f t="shared" ca="1" si="120"/>
        <v>10.804071693126851</v>
      </c>
      <c r="D700" s="21">
        <f t="shared" ca="1" si="125"/>
        <v>10.804071693126851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9.9118011960626138</v>
      </c>
      <c r="C701" s="20">
        <f t="shared" ca="1" si="120"/>
        <v>10.268513749970824</v>
      </c>
      <c r="D701" s="21">
        <f t="shared" ca="1" si="125"/>
        <v>10.268513749970824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10.103118604014382</v>
      </c>
      <c r="C702" s="20">
        <f t="shared" ca="1" si="120"/>
        <v>10.586849602305817</v>
      </c>
      <c r="D702" s="21">
        <f t="shared" ca="1" si="125"/>
        <v>10.586849602305817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13.325809882701289</v>
      </c>
      <c r="C703" s="20">
        <f t="shared" ca="1" si="120"/>
        <v>8.0563311943330529</v>
      </c>
      <c r="D703" s="21">
        <f t="shared" ca="1" si="125"/>
        <v>8.0563311943330529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10.334757695692554</v>
      </c>
      <c r="C704" s="20">
        <f t="shared" ca="1" si="120"/>
        <v>9.979342066822058</v>
      </c>
      <c r="D704" s="21">
        <f t="shared" ca="1" si="125"/>
        <v>9.979342066822058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7.932146831905766</v>
      </c>
      <c r="C705" s="20">
        <f t="shared" ca="1" si="120"/>
        <v>9.6566737511500733</v>
      </c>
      <c r="D705" s="21">
        <f t="shared" ca="1" si="125"/>
        <v>9.6566737511500733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14.288062622007217</v>
      </c>
      <c r="C706" s="20">
        <f t="shared" ca="1" si="120"/>
        <v>11.228451487376091</v>
      </c>
      <c r="D706" s="21">
        <f t="shared" ca="1" si="125"/>
        <v>11.228451487376091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7.7003764366218981</v>
      </c>
      <c r="C707" s="20">
        <f t="shared" ca="1" si="120"/>
        <v>14.158902091625542</v>
      </c>
      <c r="D707" s="21">
        <f t="shared" ca="1" si="125"/>
        <v>14.158902091625542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9.1771142527531069</v>
      </c>
      <c r="C708" s="20">
        <f t="shared" ca="1" si="120"/>
        <v>11.761736709924742</v>
      </c>
      <c r="D708" s="21">
        <f t="shared" ca="1" si="125"/>
        <v>11.761736709924742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9.8783652318881732</v>
      </c>
      <c r="C709" s="20">
        <f t="shared" ca="1" si="120"/>
        <v>10.569760339636865</v>
      </c>
      <c r="D709" s="21">
        <f t="shared" ca="1" si="125"/>
        <v>10.569760339636865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8.6090171736128891</v>
      </c>
      <c r="C710" s="20">
        <f t="shared" ca="1" si="120"/>
        <v>8.7008123743400443</v>
      </c>
      <c r="D710" s="21">
        <f t="shared" ca="1" si="125"/>
        <v>8.7008123743400443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9.5930209827623596</v>
      </c>
      <c r="C711" s="20">
        <f t="shared" ca="1" si="120"/>
        <v>10.152033161946472</v>
      </c>
      <c r="D711" s="21">
        <f t="shared" ca="1" si="125"/>
        <v>10.152033161946472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11.081645733082198</v>
      </c>
      <c r="C712" s="20">
        <f t="shared" ca="1" si="120"/>
        <v>8.6449763366777255</v>
      </c>
      <c r="D712" s="21">
        <f t="shared" ref="D712:G731" ca="1" si="128">IF(AND(ISNUMBER($D$1),$F$1&gt;0,ISNUMBER(D$11),D$11&lt;=$H$1),_xlfn.NORM.INV(RAND(),$D$1,SQRT($F$1)),"")</f>
        <v>8.6449763366777255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8.8212755158301999</v>
      </c>
      <c r="C713" s="20">
        <f t="shared" ca="1" si="120"/>
        <v>11.369993189448708</v>
      </c>
      <c r="D713" s="21">
        <f t="shared" ca="1" si="128"/>
        <v>11.369993189448708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8.3815764847711769</v>
      </c>
      <c r="C714" s="20">
        <f t="shared" ca="1" si="120"/>
        <v>11.807250170782604</v>
      </c>
      <c r="D714" s="21">
        <f t="shared" ca="1" si="128"/>
        <v>11.807250170782604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7.9787468722746295</v>
      </c>
      <c r="C715" s="20">
        <f t="shared" ca="1" si="120"/>
        <v>11.451405677361198</v>
      </c>
      <c r="D715" s="21">
        <f t="shared" ca="1" si="128"/>
        <v>11.451405677361198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9.2765397873002264</v>
      </c>
      <c r="C716" s="20">
        <f t="shared" ca="1" si="120"/>
        <v>10.586074446904368</v>
      </c>
      <c r="D716" s="21">
        <f t="shared" ca="1" si="128"/>
        <v>10.586074446904368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9.4577040650602981</v>
      </c>
      <c r="C717" s="20">
        <f t="shared" ref="C717:C780" ca="1" si="131">IF(AND($H$1&gt;=1,ISNUMBER(D717)),AVERAGE(D717:W717),"")</f>
        <v>11.179813751722644</v>
      </c>
      <c r="D717" s="21">
        <f t="shared" ca="1" si="128"/>
        <v>11.179813751722644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10.867403128555386</v>
      </c>
      <c r="C718" s="20">
        <f t="shared" ca="1" si="131"/>
        <v>7.9009870401489444</v>
      </c>
      <c r="D718" s="21">
        <f t="shared" ca="1" si="128"/>
        <v>7.9009870401489444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10.087500098165114</v>
      </c>
      <c r="C719" s="20">
        <f t="shared" ca="1" si="131"/>
        <v>11.281598425892474</v>
      </c>
      <c r="D719" s="21">
        <f t="shared" ca="1" si="128"/>
        <v>11.281598425892474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7.4247889477672926</v>
      </c>
      <c r="C720" s="20">
        <f t="shared" ca="1" si="131"/>
        <v>14.952419858213988</v>
      </c>
      <c r="D720" s="21">
        <f t="shared" ca="1" si="128"/>
        <v>14.952419858213988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10.683377166962327</v>
      </c>
      <c r="C721" s="20">
        <f t="shared" ca="1" si="131"/>
        <v>7.9823305721228941</v>
      </c>
      <c r="D721" s="21">
        <f t="shared" ca="1" si="128"/>
        <v>7.9823305721228941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12.747579958569817</v>
      </c>
      <c r="C722" s="20">
        <f t="shared" ca="1" si="131"/>
        <v>10.674993728457775</v>
      </c>
      <c r="D722" s="21">
        <f t="shared" ca="1" si="128"/>
        <v>10.674993728457775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9.595514652000066</v>
      </c>
      <c r="C723" s="20">
        <f t="shared" ca="1" si="131"/>
        <v>9.9188976639147004</v>
      </c>
      <c r="D723" s="21">
        <f t="shared" ca="1" si="128"/>
        <v>9.9188976639147004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10.535603698058901</v>
      </c>
      <c r="C724" s="20">
        <f t="shared" ca="1" si="131"/>
        <v>8.6688895322471868</v>
      </c>
      <c r="D724" s="21">
        <f t="shared" ca="1" si="128"/>
        <v>8.6688895322471868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11.484515617683666</v>
      </c>
      <c r="C725" s="20">
        <f t="shared" ca="1" si="131"/>
        <v>7.4771509449990052</v>
      </c>
      <c r="D725" s="21">
        <f t="shared" ca="1" si="128"/>
        <v>7.4771509449990052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9.3296034890030466</v>
      </c>
      <c r="C726" s="20">
        <f t="shared" ca="1" si="131"/>
        <v>10.026415597015427</v>
      </c>
      <c r="D726" s="21">
        <f t="shared" ca="1" si="128"/>
        <v>10.026415597015427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10.080438743004198</v>
      </c>
      <c r="C727" s="20">
        <f t="shared" ca="1" si="131"/>
        <v>6.7396335075248404</v>
      </c>
      <c r="D727" s="21">
        <f t="shared" ca="1" si="128"/>
        <v>6.7396335075248404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10.058078147103826</v>
      </c>
      <c r="C728" s="20">
        <f t="shared" ca="1" si="131"/>
        <v>9.0772559345410588</v>
      </c>
      <c r="D728" s="21">
        <f t="shared" ca="1" si="128"/>
        <v>9.0772559345410588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11.589473011799752</v>
      </c>
      <c r="C729" s="20">
        <f t="shared" ca="1" si="131"/>
        <v>9.021357834724343</v>
      </c>
      <c r="D729" s="21">
        <f t="shared" ca="1" si="128"/>
        <v>9.021357834724343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13.658427700435949</v>
      </c>
      <c r="C730" s="20">
        <f t="shared" ca="1" si="131"/>
        <v>9.994298810363512</v>
      </c>
      <c r="D730" s="21">
        <f t="shared" ca="1" si="128"/>
        <v>9.994298810363512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9.019670987182117</v>
      </c>
      <c r="C731" s="20">
        <f t="shared" ca="1" si="131"/>
        <v>8.4906718148661255</v>
      </c>
      <c r="D731" s="21">
        <f t="shared" ca="1" si="128"/>
        <v>8.4906718148661255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12.0141439713968</v>
      </c>
      <c r="C732" s="20">
        <f t="shared" ca="1" si="131"/>
        <v>9.0208732621015653</v>
      </c>
      <c r="D732" s="21">
        <f t="shared" ref="D732:G751" ca="1" si="133">IF(AND(ISNUMBER($D$1),$F$1&gt;0,ISNUMBER(D$11),D$11&lt;=$H$1),_xlfn.NORM.INV(RAND(),$D$1,SQRT($F$1)),"")</f>
        <v>9.0208732621015653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8.9946197551829385</v>
      </c>
      <c r="C733" s="20">
        <f t="shared" ca="1" si="131"/>
        <v>11.739842406900479</v>
      </c>
      <c r="D733" s="21">
        <f t="shared" ca="1" si="133"/>
        <v>11.739842406900479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10.161102624974145</v>
      </c>
      <c r="C734" s="20">
        <f t="shared" ca="1" si="131"/>
        <v>10.516527610622996</v>
      </c>
      <c r="D734" s="21">
        <f t="shared" ca="1" si="133"/>
        <v>10.516527610622996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7.6098128887380225</v>
      </c>
      <c r="C735" s="20">
        <f t="shared" ca="1" si="131"/>
        <v>9.7812327533282168</v>
      </c>
      <c r="D735" s="21">
        <f t="shared" ca="1" si="133"/>
        <v>9.7812327533282168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6.1871385713135147</v>
      </c>
      <c r="C736" s="20">
        <f t="shared" ca="1" si="131"/>
        <v>10.723347657758984</v>
      </c>
      <c r="D736" s="21">
        <f t="shared" ca="1" si="133"/>
        <v>10.723347657758984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10.007761488040607</v>
      </c>
      <c r="C737" s="20">
        <f t="shared" ca="1" si="131"/>
        <v>9.9457181304490216</v>
      </c>
      <c r="D737" s="21">
        <f t="shared" ca="1" si="133"/>
        <v>9.9457181304490216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7.0798013700887665</v>
      </c>
      <c r="C738" s="20">
        <f t="shared" ca="1" si="131"/>
        <v>11.682666541977394</v>
      </c>
      <c r="D738" s="21">
        <f t="shared" ca="1" si="133"/>
        <v>11.682666541977394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9.5406627799509316</v>
      </c>
      <c r="C739" s="20">
        <f t="shared" ca="1" si="131"/>
        <v>9.1252258080400246</v>
      </c>
      <c r="D739" s="21">
        <f t="shared" ca="1" si="133"/>
        <v>9.1252258080400246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9.453709044182812</v>
      </c>
      <c r="C740" s="20">
        <f t="shared" ca="1" si="131"/>
        <v>13.50673367685804</v>
      </c>
      <c r="D740" s="21">
        <f t="shared" ca="1" si="133"/>
        <v>13.50673367685804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9.9819884742520557</v>
      </c>
      <c r="C741" s="20">
        <f t="shared" ca="1" si="131"/>
        <v>10.577105381855866</v>
      </c>
      <c r="D741" s="21">
        <f t="shared" ca="1" si="133"/>
        <v>10.577105381855866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10.622970042091708</v>
      </c>
      <c r="C742" s="20">
        <f t="shared" ca="1" si="131"/>
        <v>11.084806647005324</v>
      </c>
      <c r="D742" s="21">
        <f t="shared" ca="1" si="133"/>
        <v>11.084806647005324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12.42083553600035</v>
      </c>
      <c r="C743" s="20">
        <f t="shared" ca="1" si="131"/>
        <v>11.014054931651309</v>
      </c>
      <c r="D743" s="21">
        <f t="shared" ca="1" si="133"/>
        <v>11.014054931651309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6.6320654873758169</v>
      </c>
      <c r="C744" s="20">
        <f t="shared" ca="1" si="131"/>
        <v>8.8356285855092374</v>
      </c>
      <c r="D744" s="21">
        <f t="shared" ca="1" si="133"/>
        <v>8.8356285855092374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11.241488518713741</v>
      </c>
      <c r="C745" s="20">
        <f t="shared" ca="1" si="131"/>
        <v>9.1987808764754284</v>
      </c>
      <c r="D745" s="21">
        <f t="shared" ca="1" si="133"/>
        <v>9.1987808764754284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7.2901631861567076</v>
      </c>
      <c r="C746" s="20">
        <f t="shared" ca="1" si="131"/>
        <v>11.877421365019664</v>
      </c>
      <c r="D746" s="21">
        <f t="shared" ca="1" si="133"/>
        <v>11.877421365019664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8.9612162095659773</v>
      </c>
      <c r="C747" s="20">
        <f t="shared" ca="1" si="131"/>
        <v>7.7296837242192078</v>
      </c>
      <c r="D747" s="21">
        <f t="shared" ca="1" si="133"/>
        <v>7.7296837242192078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8.0182397233436475</v>
      </c>
      <c r="C748" s="20">
        <f t="shared" ca="1" si="131"/>
        <v>10.828115360544468</v>
      </c>
      <c r="D748" s="21">
        <f t="shared" ca="1" si="133"/>
        <v>10.828115360544468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8.367245108451618</v>
      </c>
      <c r="C749" s="20">
        <f t="shared" ca="1" si="131"/>
        <v>9.8801159566899415</v>
      </c>
      <c r="D749" s="21">
        <f t="shared" ca="1" si="133"/>
        <v>9.8801159566899415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8.3831594465763093</v>
      </c>
      <c r="C750" s="20">
        <f t="shared" ca="1" si="131"/>
        <v>11.98643298081144</v>
      </c>
      <c r="D750" s="21">
        <f t="shared" ca="1" si="133"/>
        <v>11.98643298081144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13.952423557857708</v>
      </c>
      <c r="C751" s="20">
        <f t="shared" ca="1" si="131"/>
        <v>11.253881985757584</v>
      </c>
      <c r="D751" s="21">
        <f t="shared" ca="1" si="133"/>
        <v>11.253881985757584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9.1803149814541687</v>
      </c>
      <c r="C752" s="20">
        <f t="shared" ca="1" si="131"/>
        <v>6.2855185223158543</v>
      </c>
      <c r="D752" s="21">
        <f t="shared" ref="D752:G771" ca="1" si="136">IF(AND(ISNUMBER($D$1),$F$1&gt;0,ISNUMBER(D$11),D$11&lt;=$H$1),_xlfn.NORM.INV(RAND(),$D$1,SQRT($F$1)),"")</f>
        <v>6.2855185223158543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5.7819371737730734</v>
      </c>
      <c r="C753" s="20">
        <f t="shared" ca="1" si="131"/>
        <v>8.5703622528395762</v>
      </c>
      <c r="D753" s="21">
        <f t="shared" ca="1" si="136"/>
        <v>8.5703622528395762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8.3435084747684325</v>
      </c>
      <c r="C754" s="20">
        <f t="shared" ca="1" si="131"/>
        <v>12.057232030360179</v>
      </c>
      <c r="D754" s="21">
        <f t="shared" ca="1" si="136"/>
        <v>12.057232030360179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10.139532309296511</v>
      </c>
      <c r="C755" s="20">
        <f t="shared" ca="1" si="131"/>
        <v>9.4913979960213624</v>
      </c>
      <c r="D755" s="21">
        <f t="shared" ca="1" si="136"/>
        <v>9.4913979960213624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9.2066979841444354</v>
      </c>
      <c r="C756" s="20">
        <f t="shared" ca="1" si="131"/>
        <v>6.7822522056625099</v>
      </c>
      <c r="D756" s="21">
        <f t="shared" ca="1" si="136"/>
        <v>6.7822522056625099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9.0666540334085841</v>
      </c>
      <c r="C757" s="20">
        <f t="shared" ca="1" si="131"/>
        <v>10.09129662874302</v>
      </c>
      <c r="D757" s="21">
        <f t="shared" ca="1" si="136"/>
        <v>10.09129662874302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9.6299245396627065</v>
      </c>
      <c r="C758" s="20">
        <f t="shared" ca="1" si="131"/>
        <v>9.8235510380556263</v>
      </c>
      <c r="D758" s="21">
        <f t="shared" ca="1" si="136"/>
        <v>9.8235510380556263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7.7403909056633857</v>
      </c>
      <c r="C759" s="20">
        <f t="shared" ca="1" si="131"/>
        <v>11.875444810757573</v>
      </c>
      <c r="D759" s="21">
        <f t="shared" ca="1" si="136"/>
        <v>11.875444810757573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8.7096230308534626</v>
      </c>
      <c r="C760" s="20">
        <f t="shared" ca="1" si="131"/>
        <v>9.0795881843101416</v>
      </c>
      <c r="D760" s="21">
        <f t="shared" ca="1" si="136"/>
        <v>9.0795881843101416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8.4718211873883806</v>
      </c>
      <c r="C761" s="20">
        <f t="shared" ca="1" si="131"/>
        <v>8.9533528864539615</v>
      </c>
      <c r="D761" s="21">
        <f t="shared" ca="1" si="136"/>
        <v>8.9533528864539615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9.5976506208112831</v>
      </c>
      <c r="C762" s="20">
        <f t="shared" ca="1" si="131"/>
        <v>9.1498265435198469</v>
      </c>
      <c r="D762" s="21">
        <f t="shared" ca="1" si="136"/>
        <v>9.1498265435198469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12.89614467937937</v>
      </c>
      <c r="C763" s="20">
        <f t="shared" ca="1" si="131"/>
        <v>7.3560366219419677</v>
      </c>
      <c r="D763" s="21">
        <f t="shared" ca="1" si="136"/>
        <v>7.3560366219419677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8.8516132271484711</v>
      </c>
      <c r="C764" s="20">
        <f t="shared" ca="1" si="131"/>
        <v>8.1677751763793403</v>
      </c>
      <c r="D764" s="21">
        <f t="shared" ca="1" si="136"/>
        <v>8.1677751763793403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9.7141489876106668</v>
      </c>
      <c r="C765" s="20">
        <f t="shared" ca="1" si="131"/>
        <v>9.885263158812517</v>
      </c>
      <c r="D765" s="21">
        <f t="shared" ca="1" si="136"/>
        <v>9.885263158812517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10.492628726506881</v>
      </c>
      <c r="C766" s="20">
        <f t="shared" ca="1" si="131"/>
        <v>11.574293302921717</v>
      </c>
      <c r="D766" s="21">
        <f t="shared" ca="1" si="136"/>
        <v>11.574293302921717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9.8573293548699148</v>
      </c>
      <c r="C767" s="20">
        <f t="shared" ca="1" si="131"/>
        <v>9.7155441493515937</v>
      </c>
      <c r="D767" s="21">
        <f t="shared" ca="1" si="136"/>
        <v>9.7155441493515937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9.4200226903707041</v>
      </c>
      <c r="C768" s="20">
        <f t="shared" ca="1" si="131"/>
        <v>9.6381862627192501</v>
      </c>
      <c r="D768" s="21">
        <f t="shared" ca="1" si="136"/>
        <v>9.6381862627192501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9.4050543050247182</v>
      </c>
      <c r="C769" s="20">
        <f t="shared" ca="1" si="131"/>
        <v>8.4378740620069976</v>
      </c>
      <c r="D769" s="21">
        <f t="shared" ca="1" si="136"/>
        <v>8.4378740620069976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5.9795746158799181</v>
      </c>
      <c r="C770" s="20">
        <f t="shared" ca="1" si="131"/>
        <v>10.00113389934527</v>
      </c>
      <c r="D770" s="21">
        <f t="shared" ca="1" si="136"/>
        <v>10.00113389934527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9.242316400021787</v>
      </c>
      <c r="C771" s="20">
        <f t="shared" ca="1" si="131"/>
        <v>11.997697365122599</v>
      </c>
      <c r="D771" s="21">
        <f t="shared" ca="1" si="136"/>
        <v>11.997697365122599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9.0382438063663439</v>
      </c>
      <c r="C772" s="20">
        <f t="shared" ca="1" si="131"/>
        <v>11.925401205979977</v>
      </c>
      <c r="D772" s="21">
        <f t="shared" ref="D772:G791" ca="1" si="139">IF(AND(ISNUMBER($D$1),$F$1&gt;0,ISNUMBER(D$11),D$11&lt;=$H$1),_xlfn.NORM.INV(RAND(),$D$1,SQRT($F$1)),"")</f>
        <v>11.925401205979977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10.259020015580113</v>
      </c>
      <c r="C773" s="20">
        <f t="shared" ca="1" si="131"/>
        <v>9.6795410053143467</v>
      </c>
      <c r="D773" s="21">
        <f t="shared" ca="1" si="139"/>
        <v>9.6795410053143467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9.4526373659076164</v>
      </c>
      <c r="C774" s="20">
        <f t="shared" ca="1" si="131"/>
        <v>9.3110483571084348</v>
      </c>
      <c r="D774" s="21">
        <f t="shared" ca="1" si="139"/>
        <v>9.3110483571084348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10.282165645736868</v>
      </c>
      <c r="C775" s="20">
        <f t="shared" ca="1" si="131"/>
        <v>8.4626312582807781</v>
      </c>
      <c r="D775" s="21">
        <f t="shared" ca="1" si="139"/>
        <v>8.4626312582807781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9.4268587847906087</v>
      </c>
      <c r="C776" s="20">
        <f t="shared" ca="1" si="131"/>
        <v>11.396360804592899</v>
      </c>
      <c r="D776" s="21">
        <f t="shared" ca="1" si="139"/>
        <v>11.396360804592899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10.483430600920059</v>
      </c>
      <c r="C777" s="20">
        <f t="shared" ca="1" si="131"/>
        <v>7.6223626691375959</v>
      </c>
      <c r="D777" s="21">
        <f t="shared" ca="1" si="139"/>
        <v>7.6223626691375959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10.12731337190154</v>
      </c>
      <c r="C778" s="20">
        <f t="shared" ca="1" si="131"/>
        <v>9.0955695051735219</v>
      </c>
      <c r="D778" s="21">
        <f t="shared" ca="1" si="139"/>
        <v>9.0955695051735219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10.965250899671782</v>
      </c>
      <c r="C779" s="20">
        <f t="shared" ca="1" si="131"/>
        <v>9.3907876583296854</v>
      </c>
      <c r="D779" s="21">
        <f t="shared" ca="1" si="139"/>
        <v>9.3907876583296854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11.97486874855025</v>
      </c>
      <c r="C780" s="20">
        <f t="shared" ca="1" si="131"/>
        <v>11.137253816443479</v>
      </c>
      <c r="D780" s="21">
        <f t="shared" ca="1" si="139"/>
        <v>11.137253816443479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8.0215004950397351</v>
      </c>
      <c r="C781" s="20">
        <f t="shared" ref="C781:C844" ca="1" si="142">IF(AND($H$1&gt;=1,ISNUMBER(D781)),AVERAGE(D781:W781),"")</f>
        <v>7.0403781647250163</v>
      </c>
      <c r="D781" s="21">
        <f t="shared" ca="1" si="139"/>
        <v>7.0403781647250163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7.920834916421529</v>
      </c>
      <c r="C782" s="20">
        <f t="shared" ca="1" si="142"/>
        <v>6.7592949515153151</v>
      </c>
      <c r="D782" s="21">
        <f t="shared" ca="1" si="139"/>
        <v>6.7592949515153151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10.605122324230585</v>
      </c>
      <c r="C783" s="20">
        <f t="shared" ca="1" si="142"/>
        <v>10.121854941983708</v>
      </c>
      <c r="D783" s="21">
        <f t="shared" ca="1" si="139"/>
        <v>10.121854941983708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10.659465249062254</v>
      </c>
      <c r="C784" s="20">
        <f t="shared" ca="1" si="142"/>
        <v>11.009528641545941</v>
      </c>
      <c r="D784" s="21">
        <f t="shared" ca="1" si="139"/>
        <v>11.009528641545941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8.9819599909157688</v>
      </c>
      <c r="C785" s="20">
        <f t="shared" ca="1" si="142"/>
        <v>11.002595651201377</v>
      </c>
      <c r="D785" s="21">
        <f t="shared" ca="1" si="139"/>
        <v>11.002595651201377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10.35711479456379</v>
      </c>
      <c r="C786" s="20">
        <f t="shared" ca="1" si="142"/>
        <v>12.312581327064233</v>
      </c>
      <c r="D786" s="21">
        <f t="shared" ca="1" si="139"/>
        <v>12.312581327064233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8.4117996039399596</v>
      </c>
      <c r="C787" s="20">
        <f t="shared" ca="1" si="142"/>
        <v>12.953632893233534</v>
      </c>
      <c r="D787" s="21">
        <f t="shared" ca="1" si="139"/>
        <v>12.953632893233534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9.961764774970657</v>
      </c>
      <c r="C788" s="20">
        <f t="shared" ca="1" si="142"/>
        <v>11.158694869265618</v>
      </c>
      <c r="D788" s="21">
        <f t="shared" ca="1" si="139"/>
        <v>11.158694869265618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6.9211253013354836</v>
      </c>
      <c r="C789" s="20">
        <f t="shared" ca="1" si="142"/>
        <v>16.060726207929989</v>
      </c>
      <c r="D789" s="21">
        <f t="shared" ca="1" si="139"/>
        <v>16.060726207929989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8.2346419706581884</v>
      </c>
      <c r="C790" s="20">
        <f t="shared" ca="1" si="142"/>
        <v>6.5392657657347781</v>
      </c>
      <c r="D790" s="21">
        <f t="shared" ca="1" si="139"/>
        <v>6.5392657657347781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10.863446177268363</v>
      </c>
      <c r="C791" s="20">
        <f t="shared" ca="1" si="142"/>
        <v>6.6297072816103411</v>
      </c>
      <c r="D791" s="21">
        <f t="shared" ca="1" si="139"/>
        <v>6.6297072816103411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12.602032651372753</v>
      </c>
      <c r="C792" s="20">
        <f t="shared" ca="1" si="142"/>
        <v>12.215450793721832</v>
      </c>
      <c r="D792" s="21">
        <f t="shared" ref="D792:G811" ca="1" si="144">IF(AND(ISNUMBER($D$1),$F$1&gt;0,ISNUMBER(D$11),D$11&lt;=$H$1),_xlfn.NORM.INV(RAND(),$D$1,SQRT($F$1)),"")</f>
        <v>12.215450793721832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11.986414606653332</v>
      </c>
      <c r="C793" s="20">
        <f t="shared" ca="1" si="142"/>
        <v>8.1705964326858602</v>
      </c>
      <c r="D793" s="21">
        <f t="shared" ca="1" si="144"/>
        <v>8.1705964326858602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11.04609534821892</v>
      </c>
      <c r="C794" s="20">
        <f t="shared" ca="1" si="142"/>
        <v>6.9837224988960696</v>
      </c>
      <c r="D794" s="21">
        <f t="shared" ca="1" si="144"/>
        <v>6.9837224988960696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8.7336295447863037</v>
      </c>
      <c r="C795" s="20">
        <f t="shared" ca="1" si="142"/>
        <v>12.933380412944457</v>
      </c>
      <c r="D795" s="21">
        <f t="shared" ca="1" si="144"/>
        <v>12.933380412944457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6.1120272088340526</v>
      </c>
      <c r="C796" s="20">
        <f t="shared" ca="1" si="142"/>
        <v>6.5057734117278807</v>
      </c>
      <c r="D796" s="21">
        <f t="shared" ca="1" si="144"/>
        <v>6.5057734117278807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6.8644508588829485</v>
      </c>
      <c r="C797" s="20">
        <f t="shared" ca="1" si="142"/>
        <v>8.6333213858452087</v>
      </c>
      <c r="D797" s="21">
        <f t="shared" ca="1" si="144"/>
        <v>8.6333213858452087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11.458259782559578</v>
      </c>
      <c r="C798" s="20">
        <f t="shared" ca="1" si="142"/>
        <v>14.806894164643589</v>
      </c>
      <c r="D798" s="21">
        <f t="shared" ca="1" si="144"/>
        <v>14.806894164643589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15.107389909045308</v>
      </c>
      <c r="C799" s="20">
        <f t="shared" ca="1" si="142"/>
        <v>6.9715338928020119</v>
      </c>
      <c r="D799" s="21">
        <f t="shared" ca="1" si="144"/>
        <v>6.9715338928020119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6.2765831391247193</v>
      </c>
      <c r="C800" s="20">
        <f t="shared" ca="1" si="142"/>
        <v>9.6017083087932527</v>
      </c>
      <c r="D800" s="21">
        <f t="shared" ca="1" si="144"/>
        <v>9.6017083087932527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9.3604314903072758</v>
      </c>
      <c r="C801" s="20">
        <f t="shared" ca="1" si="142"/>
        <v>9.5287920615244897</v>
      </c>
      <c r="D801" s="21">
        <f t="shared" ca="1" si="144"/>
        <v>9.5287920615244897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13.53730228030806</v>
      </c>
      <c r="C802" s="20">
        <f t="shared" ca="1" si="142"/>
        <v>12.236023256062431</v>
      </c>
      <c r="D802" s="21">
        <f t="shared" ca="1" si="144"/>
        <v>12.236023256062431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10.729612911148372</v>
      </c>
      <c r="C803" s="20">
        <f t="shared" ca="1" si="142"/>
        <v>9.8211914937579845</v>
      </c>
      <c r="D803" s="21">
        <f t="shared" ca="1" si="144"/>
        <v>9.8211914937579845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7.9949664246874814</v>
      </c>
      <c r="C804" s="20">
        <f t="shared" ca="1" si="142"/>
        <v>9.7192985857878238</v>
      </c>
      <c r="D804" s="21">
        <f t="shared" ca="1" si="144"/>
        <v>9.7192985857878238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9.0664972895688702</v>
      </c>
      <c r="C805" s="20">
        <f t="shared" ca="1" si="142"/>
        <v>12.361741835330172</v>
      </c>
      <c r="D805" s="21">
        <f t="shared" ca="1" si="144"/>
        <v>12.361741835330172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4.6711998410358273</v>
      </c>
      <c r="C806" s="20">
        <f t="shared" ca="1" si="142"/>
        <v>12.906839020751352</v>
      </c>
      <c r="D806" s="21">
        <f t="shared" ca="1" si="144"/>
        <v>12.906839020751352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10.187555782111652</v>
      </c>
      <c r="C807" s="20">
        <f t="shared" ca="1" si="142"/>
        <v>9.4333122886227443</v>
      </c>
      <c r="D807" s="21">
        <f t="shared" ca="1" si="144"/>
        <v>9.4333122886227443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10.25874245074483</v>
      </c>
      <c r="C808" s="20">
        <f t="shared" ca="1" si="142"/>
        <v>9.0459120686874925</v>
      </c>
      <c r="D808" s="21">
        <f t="shared" ca="1" si="144"/>
        <v>9.0459120686874925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12.233845586738102</v>
      </c>
      <c r="C809" s="20">
        <f t="shared" ca="1" si="142"/>
        <v>12.341019681836192</v>
      </c>
      <c r="D809" s="21">
        <f t="shared" ca="1" si="144"/>
        <v>12.341019681836192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10.089963224215442</v>
      </c>
      <c r="C810" s="20">
        <f t="shared" ca="1" si="142"/>
        <v>12.766534210021945</v>
      </c>
      <c r="D810" s="21">
        <f t="shared" ca="1" si="144"/>
        <v>12.766534210021945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12.367673804334206</v>
      </c>
      <c r="C811" s="20">
        <f t="shared" ca="1" si="142"/>
        <v>10.851465655245379</v>
      </c>
      <c r="D811" s="21">
        <f t="shared" ca="1" si="144"/>
        <v>10.851465655245379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9.8068510034602383</v>
      </c>
      <c r="C812" s="20">
        <f t="shared" ca="1" si="142"/>
        <v>11.673561502623405</v>
      </c>
      <c r="D812" s="21">
        <f t="shared" ref="D812:G831" ca="1" si="147">IF(AND(ISNUMBER($D$1),$F$1&gt;0,ISNUMBER(D$11),D$11&lt;=$H$1),_xlfn.NORM.INV(RAND(),$D$1,SQRT($F$1)),"")</f>
        <v>11.673561502623405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8.120205078331125</v>
      </c>
      <c r="C813" s="20">
        <f t="shared" ca="1" si="142"/>
        <v>8.1760280390647253</v>
      </c>
      <c r="D813" s="21">
        <f t="shared" ca="1" si="147"/>
        <v>8.1760280390647253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3.5044936979575461</v>
      </c>
      <c r="C814" s="20">
        <f t="shared" ca="1" si="142"/>
        <v>11.242572955329102</v>
      </c>
      <c r="D814" s="21">
        <f t="shared" ca="1" si="147"/>
        <v>11.242572955329102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13.033573115368686</v>
      </c>
      <c r="C815" s="20">
        <f t="shared" ca="1" si="142"/>
        <v>7.8079804207829504</v>
      </c>
      <c r="D815" s="21">
        <f t="shared" ca="1" si="147"/>
        <v>7.8079804207829504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8.7821656665923822</v>
      </c>
      <c r="C816" s="20">
        <f t="shared" ca="1" si="142"/>
        <v>5.8479395929892428</v>
      </c>
      <c r="D816" s="21">
        <f t="shared" ca="1" si="147"/>
        <v>5.8479395929892428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6.0311310793209305</v>
      </c>
      <c r="C817" s="20">
        <f t="shared" ca="1" si="142"/>
        <v>11.123044660351646</v>
      </c>
      <c r="D817" s="21">
        <f t="shared" ca="1" si="147"/>
        <v>11.123044660351646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8.2281134446039914</v>
      </c>
      <c r="C818" s="20">
        <f t="shared" ca="1" si="142"/>
        <v>10.251522783473749</v>
      </c>
      <c r="D818" s="21">
        <f t="shared" ca="1" si="147"/>
        <v>10.251522783473749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8.7720282770500724</v>
      </c>
      <c r="C819" s="20">
        <f t="shared" ca="1" si="142"/>
        <v>8.9724685906838157</v>
      </c>
      <c r="D819" s="21">
        <f t="shared" ca="1" si="147"/>
        <v>8.9724685906838157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12.66117280912124</v>
      </c>
      <c r="C820" s="20">
        <f t="shared" ca="1" si="142"/>
        <v>13.90465571309063</v>
      </c>
      <c r="D820" s="21">
        <f t="shared" ca="1" si="147"/>
        <v>13.90465571309063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8.5179650741246036</v>
      </c>
      <c r="C821" s="20">
        <f t="shared" ca="1" si="142"/>
        <v>11.274359337318527</v>
      </c>
      <c r="D821" s="21">
        <f t="shared" ca="1" si="147"/>
        <v>11.274359337318527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11.637924175586283</v>
      </c>
      <c r="C822" s="20">
        <f t="shared" ca="1" si="142"/>
        <v>12.291932537298797</v>
      </c>
      <c r="D822" s="21">
        <f t="shared" ca="1" si="147"/>
        <v>12.291932537298797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8.8514513803069335</v>
      </c>
      <c r="C823" s="20">
        <f t="shared" ca="1" si="142"/>
        <v>12.042312464197883</v>
      </c>
      <c r="D823" s="21">
        <f t="shared" ca="1" si="147"/>
        <v>12.042312464197883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8.6948003901532882</v>
      </c>
      <c r="C824" s="20">
        <f t="shared" ca="1" si="142"/>
        <v>8.3852122590286218</v>
      </c>
      <c r="D824" s="21">
        <f t="shared" ca="1" si="147"/>
        <v>8.3852122590286218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11.720389526358881</v>
      </c>
      <c r="C825" s="20">
        <f t="shared" ca="1" si="142"/>
        <v>11.584263380047719</v>
      </c>
      <c r="D825" s="21">
        <f t="shared" ca="1" si="147"/>
        <v>11.584263380047719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10.662247442148201</v>
      </c>
      <c r="C826" s="20">
        <f t="shared" ca="1" si="142"/>
        <v>10.301216803854444</v>
      </c>
      <c r="D826" s="21">
        <f t="shared" ca="1" si="147"/>
        <v>10.301216803854444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11.94277541135445</v>
      </c>
      <c r="C827" s="20">
        <f t="shared" ca="1" si="142"/>
        <v>8.1654092691566404</v>
      </c>
      <c r="D827" s="21">
        <f t="shared" ca="1" si="147"/>
        <v>8.1654092691566404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10.987363609187016</v>
      </c>
      <c r="C828" s="20">
        <f t="shared" ca="1" si="142"/>
        <v>11.006105263184988</v>
      </c>
      <c r="D828" s="21">
        <f t="shared" ca="1" si="147"/>
        <v>11.006105263184988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7.1021448635656652</v>
      </c>
      <c r="C829" s="20">
        <f t="shared" ca="1" si="142"/>
        <v>9.7428161586360691</v>
      </c>
      <c r="D829" s="21">
        <f t="shared" ca="1" si="147"/>
        <v>9.7428161586360691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9.6619179566314077</v>
      </c>
      <c r="C830" s="20">
        <f t="shared" ca="1" si="142"/>
        <v>8.9769315742091003</v>
      </c>
      <c r="D830" s="21">
        <f t="shared" ca="1" si="147"/>
        <v>8.9769315742091003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8.6611002208554311</v>
      </c>
      <c r="C831" s="20">
        <f t="shared" ca="1" si="142"/>
        <v>12.124797225444233</v>
      </c>
      <c r="D831" s="21">
        <f t="shared" ca="1" si="147"/>
        <v>12.124797225444233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9.7379185582102341</v>
      </c>
      <c r="C832" s="20">
        <f t="shared" ca="1" si="142"/>
        <v>6.6675927543375035</v>
      </c>
      <c r="D832" s="21">
        <f t="shared" ref="D832:G851" ca="1" si="150">IF(AND(ISNUMBER($D$1),$F$1&gt;0,ISNUMBER(D$11),D$11&lt;=$H$1),_xlfn.NORM.INV(RAND(),$D$1,SQRT($F$1)),"")</f>
        <v>6.6675927543375035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5.3852196913687518</v>
      </c>
      <c r="C833" s="20">
        <f t="shared" ca="1" si="142"/>
        <v>10.599309908007656</v>
      </c>
      <c r="D833" s="21">
        <f t="shared" ca="1" si="150"/>
        <v>10.599309908007656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8.2122391730847824</v>
      </c>
      <c r="C834" s="20">
        <f t="shared" ca="1" si="142"/>
        <v>10.285322953617506</v>
      </c>
      <c r="D834" s="21">
        <f t="shared" ca="1" si="150"/>
        <v>10.285322953617506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12.525086609381731</v>
      </c>
      <c r="C835" s="20">
        <f t="shared" ca="1" si="142"/>
        <v>6.3179481386340068</v>
      </c>
      <c r="D835" s="21">
        <f t="shared" ca="1" si="150"/>
        <v>6.3179481386340068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6.60988779175345</v>
      </c>
      <c r="C836" s="20">
        <f t="shared" ca="1" si="142"/>
        <v>8.4164471757200729</v>
      </c>
      <c r="D836" s="21">
        <f t="shared" ca="1" si="150"/>
        <v>8.4164471757200729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11.195613863932701</v>
      </c>
      <c r="C837" s="20">
        <f t="shared" ca="1" si="142"/>
        <v>7.5462061813996293</v>
      </c>
      <c r="D837" s="21">
        <f t="shared" ca="1" si="150"/>
        <v>7.5462061813996293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11.033144006974178</v>
      </c>
      <c r="C838" s="20">
        <f t="shared" ca="1" si="142"/>
        <v>7.7647638017540572</v>
      </c>
      <c r="D838" s="21">
        <f t="shared" ca="1" si="150"/>
        <v>7.7647638017540572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10.461831760121875</v>
      </c>
      <c r="C839" s="20">
        <f t="shared" ca="1" si="142"/>
        <v>11.006306337747013</v>
      </c>
      <c r="D839" s="21">
        <f t="shared" ca="1" si="150"/>
        <v>11.006306337747013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9.4898263209801375</v>
      </c>
      <c r="C840" s="20">
        <f t="shared" ca="1" si="142"/>
        <v>9.3073657883682301</v>
      </c>
      <c r="D840" s="21">
        <f t="shared" ca="1" si="150"/>
        <v>9.3073657883682301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10.622192099218562</v>
      </c>
      <c r="C841" s="20">
        <f t="shared" ca="1" si="142"/>
        <v>6.3594835287341267</v>
      </c>
      <c r="D841" s="21">
        <f t="shared" ca="1" si="150"/>
        <v>6.3594835287341267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3.3844420688338781</v>
      </c>
      <c r="C842" s="20">
        <f t="shared" ca="1" si="142"/>
        <v>7.9379919429918164</v>
      </c>
      <c r="D842" s="21">
        <f t="shared" ca="1" si="150"/>
        <v>7.9379919429918164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11.673963947923571</v>
      </c>
      <c r="C843" s="20">
        <f t="shared" ca="1" si="142"/>
        <v>7.8691942814686815</v>
      </c>
      <c r="D843" s="21">
        <f t="shared" ca="1" si="150"/>
        <v>7.8691942814686815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13.561292317256374</v>
      </c>
      <c r="C844" s="20">
        <f t="shared" ca="1" si="142"/>
        <v>11.59521105736474</v>
      </c>
      <c r="D844" s="21">
        <f t="shared" ca="1" si="150"/>
        <v>11.59521105736474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9.4688050063613076</v>
      </c>
      <c r="C845" s="20">
        <f t="shared" ref="C845:C908" ca="1" si="154">IF(AND($H$1&gt;=1,ISNUMBER(D845)),AVERAGE(D845:W845),"")</f>
        <v>12.376649688992671</v>
      </c>
      <c r="D845" s="21">
        <f t="shared" ca="1" si="150"/>
        <v>12.376649688992671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10.332714436309399</v>
      </c>
      <c r="C846" s="20">
        <f t="shared" ca="1" si="154"/>
        <v>8.4162890895459412</v>
      </c>
      <c r="D846" s="21">
        <f t="shared" ca="1" si="150"/>
        <v>8.4162890895459412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11.248072992515375</v>
      </c>
      <c r="C847" s="20">
        <f t="shared" ca="1" si="154"/>
        <v>5.9685615964926173</v>
      </c>
      <c r="D847" s="21">
        <f t="shared" ca="1" si="150"/>
        <v>5.9685615964926173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12.579534102750515</v>
      </c>
      <c r="C848" s="20">
        <f t="shared" ca="1" si="154"/>
        <v>11.1752382482114</v>
      </c>
      <c r="D848" s="21">
        <f t="shared" ca="1" si="150"/>
        <v>11.1752382482114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6.7477234101099004</v>
      </c>
      <c r="C849" s="20">
        <f t="shared" ca="1" si="154"/>
        <v>12.123905480726201</v>
      </c>
      <c r="D849" s="21">
        <f t="shared" ca="1" si="150"/>
        <v>12.123905480726201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10.268771238034461</v>
      </c>
      <c r="C850" s="20">
        <f t="shared" ca="1" si="154"/>
        <v>10.561792754004035</v>
      </c>
      <c r="D850" s="21">
        <f t="shared" ca="1" si="150"/>
        <v>10.561792754004035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10.723385612768189</v>
      </c>
      <c r="C851" s="20">
        <f t="shared" ca="1" si="154"/>
        <v>9.6541549996651206</v>
      </c>
      <c r="D851" s="21">
        <f t="shared" ca="1" si="150"/>
        <v>9.6541549996651206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7.9021975708015173</v>
      </c>
      <c r="C852" s="20">
        <f t="shared" ca="1" si="154"/>
        <v>8.4734826670349541</v>
      </c>
      <c r="D852" s="21">
        <f t="shared" ref="D852:G871" ca="1" si="155">IF(AND(ISNUMBER($D$1),$F$1&gt;0,ISNUMBER(D$11),D$11&lt;=$H$1),_xlfn.NORM.INV(RAND(),$D$1,SQRT($F$1)),"")</f>
        <v>8.4734826670349541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8.4979555070554387</v>
      </c>
      <c r="C853" s="20">
        <f t="shared" ca="1" si="154"/>
        <v>9.8005664254246518</v>
      </c>
      <c r="D853" s="21">
        <f t="shared" ca="1" si="155"/>
        <v>9.8005664254246518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9.081147433590413</v>
      </c>
      <c r="C854" s="20">
        <f t="shared" ca="1" si="154"/>
        <v>12.804695795601424</v>
      </c>
      <c r="D854" s="21">
        <f t="shared" ca="1" si="155"/>
        <v>12.804695795601424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12.041448577926651</v>
      </c>
      <c r="C855" s="20">
        <f t="shared" ca="1" si="154"/>
        <v>10.653262620148412</v>
      </c>
      <c r="D855" s="21">
        <f t="shared" ca="1" si="155"/>
        <v>10.653262620148412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10.548256011721339</v>
      </c>
      <c r="C856" s="20">
        <f t="shared" ca="1" si="154"/>
        <v>12.295863231208919</v>
      </c>
      <c r="D856" s="21">
        <f t="shared" ca="1" si="155"/>
        <v>12.295863231208919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2.1228321124826763</v>
      </c>
      <c r="C857" s="20">
        <f t="shared" ca="1" si="154"/>
        <v>8.6794783582064721</v>
      </c>
      <c r="D857" s="21">
        <f t="shared" ca="1" si="155"/>
        <v>8.6794783582064721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8.7888994222355841</v>
      </c>
      <c r="C858" s="20">
        <f t="shared" ca="1" si="154"/>
        <v>7.9306579945163822</v>
      </c>
      <c r="D858" s="21">
        <f t="shared" ca="1" si="155"/>
        <v>7.9306579945163822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10.832601565135683</v>
      </c>
      <c r="C859" s="20">
        <f t="shared" ca="1" si="154"/>
        <v>12.316986497980128</v>
      </c>
      <c r="D859" s="21">
        <f t="shared" ca="1" si="155"/>
        <v>12.316986497980128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8.3460794145539268</v>
      </c>
      <c r="C860" s="20">
        <f t="shared" ca="1" si="154"/>
        <v>8.4400694603124489</v>
      </c>
      <c r="D860" s="21">
        <f t="shared" ca="1" si="155"/>
        <v>8.4400694603124489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8.320518338438653</v>
      </c>
      <c r="C861" s="20">
        <f t="shared" ca="1" si="154"/>
        <v>5.4288830964484358</v>
      </c>
      <c r="D861" s="21">
        <f t="shared" ca="1" si="155"/>
        <v>5.4288830964484358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10.214667890317083</v>
      </c>
      <c r="C862" s="20">
        <f t="shared" ca="1" si="154"/>
        <v>10.080892289778417</v>
      </c>
      <c r="D862" s="21">
        <f t="shared" ca="1" si="155"/>
        <v>10.080892289778417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13.960088984096469</v>
      </c>
      <c r="C863" s="20">
        <f t="shared" ca="1" si="154"/>
        <v>11.462848077455336</v>
      </c>
      <c r="D863" s="21">
        <f t="shared" ca="1" si="155"/>
        <v>11.462848077455336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9.8330378585369154</v>
      </c>
      <c r="C864" s="20">
        <f t="shared" ca="1" si="154"/>
        <v>9.5594418777197436</v>
      </c>
      <c r="D864" s="21">
        <f t="shared" ca="1" si="155"/>
        <v>9.5594418777197436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11.107036704228371</v>
      </c>
      <c r="C865" s="20">
        <f t="shared" ca="1" si="154"/>
        <v>10.406805364823724</v>
      </c>
      <c r="D865" s="21">
        <f t="shared" ca="1" si="155"/>
        <v>10.406805364823724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13.320856847845855</v>
      </c>
      <c r="C866" s="20">
        <f t="shared" ca="1" si="154"/>
        <v>11.877103307399446</v>
      </c>
      <c r="D866" s="21">
        <f t="shared" ca="1" si="155"/>
        <v>11.877103307399446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10.952997558129857</v>
      </c>
      <c r="C867" s="20">
        <f t="shared" ca="1" si="154"/>
        <v>7.3547938985579666</v>
      </c>
      <c r="D867" s="21">
        <f t="shared" ca="1" si="155"/>
        <v>7.3547938985579666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7.580186275234051</v>
      </c>
      <c r="C868" s="20">
        <f t="shared" ca="1" si="154"/>
        <v>10.469174295833092</v>
      </c>
      <c r="D868" s="21">
        <f t="shared" ca="1" si="155"/>
        <v>10.469174295833092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9.0928830381968933</v>
      </c>
      <c r="C869" s="20">
        <f t="shared" ca="1" si="154"/>
        <v>12.100219034869268</v>
      </c>
      <c r="D869" s="21">
        <f t="shared" ca="1" si="155"/>
        <v>12.100219034869268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6.233637297776573</v>
      </c>
      <c r="C870" s="20">
        <f t="shared" ca="1" si="154"/>
        <v>12.056595490965998</v>
      </c>
      <c r="D870" s="21">
        <f t="shared" ca="1" si="155"/>
        <v>12.056595490965998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9.7116689967593519</v>
      </c>
      <c r="C871" s="20">
        <f t="shared" ca="1" si="154"/>
        <v>8.4522271196997263</v>
      </c>
      <c r="D871" s="21">
        <f t="shared" ca="1" si="155"/>
        <v>8.4522271196997263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12.437249119722237</v>
      </c>
      <c r="C872" s="20">
        <f t="shared" ca="1" si="154"/>
        <v>5.7647941771332887</v>
      </c>
      <c r="D872" s="21">
        <f t="shared" ref="D872:G891" ca="1" si="158">IF(AND(ISNUMBER($D$1),$F$1&gt;0,ISNUMBER(D$11),D$11&lt;=$H$1),_xlfn.NORM.INV(RAND(),$D$1,SQRT($F$1)),"")</f>
        <v>5.7647941771332887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7.5717290824433974</v>
      </c>
      <c r="C873" s="20">
        <f t="shared" ca="1" si="154"/>
        <v>10.731898135592244</v>
      </c>
      <c r="D873" s="21">
        <f t="shared" ca="1" si="158"/>
        <v>10.731898135592244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9.9241093234474924</v>
      </c>
      <c r="C874" s="20">
        <f t="shared" ca="1" si="154"/>
        <v>6.552915151325319</v>
      </c>
      <c r="D874" s="21">
        <f t="shared" ca="1" si="158"/>
        <v>6.552915151325319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9.5181339400043328</v>
      </c>
      <c r="C875" s="20">
        <f t="shared" ca="1" si="154"/>
        <v>8.5692816823539992</v>
      </c>
      <c r="D875" s="21">
        <f t="shared" ca="1" si="158"/>
        <v>8.5692816823539992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8.6448940465473125</v>
      </c>
      <c r="C876" s="20">
        <f t="shared" ca="1" si="154"/>
        <v>10.425983935967771</v>
      </c>
      <c r="D876" s="21">
        <f t="shared" ca="1" si="158"/>
        <v>10.425983935967771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9.1869956633622269</v>
      </c>
      <c r="C877" s="20">
        <f t="shared" ca="1" si="154"/>
        <v>9.5614289144656812</v>
      </c>
      <c r="D877" s="21">
        <f t="shared" ca="1" si="158"/>
        <v>9.5614289144656812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10.820610038364043</v>
      </c>
      <c r="C878" s="20">
        <f t="shared" ca="1" si="154"/>
        <v>11.021803579642816</v>
      </c>
      <c r="D878" s="21">
        <f t="shared" ca="1" si="158"/>
        <v>11.021803579642816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9.1735323185443622</v>
      </c>
      <c r="C879" s="20">
        <f t="shared" ca="1" si="154"/>
        <v>12.833850361678463</v>
      </c>
      <c r="D879" s="21">
        <f t="shared" ca="1" si="158"/>
        <v>12.833850361678463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12.161982552793114</v>
      </c>
      <c r="C880" s="20">
        <f t="shared" ca="1" si="154"/>
        <v>10.573770079784481</v>
      </c>
      <c r="D880" s="21">
        <f t="shared" ca="1" si="158"/>
        <v>10.573770079784481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10.778605611305109</v>
      </c>
      <c r="C881" s="20">
        <f t="shared" ca="1" si="154"/>
        <v>9.1289847264759665</v>
      </c>
      <c r="D881" s="21">
        <f t="shared" ca="1" si="158"/>
        <v>9.1289847264759665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5.7538769881062173</v>
      </c>
      <c r="C882" s="20">
        <f t="shared" ca="1" si="154"/>
        <v>7.1027193099331214</v>
      </c>
      <c r="D882" s="21">
        <f t="shared" ca="1" si="158"/>
        <v>7.1027193099331214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7.2760577346740964</v>
      </c>
      <c r="C883" s="20">
        <f t="shared" ca="1" si="154"/>
        <v>7.18200807104812</v>
      </c>
      <c r="D883" s="21">
        <f t="shared" ca="1" si="158"/>
        <v>7.18200807104812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9.4182951139725528</v>
      </c>
      <c r="C884" s="20">
        <f t="shared" ca="1" si="154"/>
        <v>8.5533500711152826</v>
      </c>
      <c r="D884" s="21">
        <f t="shared" ca="1" si="158"/>
        <v>8.5533500711152826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9.2749264479990536</v>
      </c>
      <c r="C885" s="20">
        <f t="shared" ca="1" si="154"/>
        <v>7.8485103413232196</v>
      </c>
      <c r="D885" s="21">
        <f t="shared" ca="1" si="158"/>
        <v>7.8485103413232196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8.7382085507929492</v>
      </c>
      <c r="C886" s="20">
        <f t="shared" ca="1" si="154"/>
        <v>9.8850545534394261</v>
      </c>
      <c r="D886" s="21">
        <f t="shared" ca="1" si="158"/>
        <v>9.8850545534394261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7.7838808493339551</v>
      </c>
      <c r="C887" s="20">
        <f t="shared" ca="1" si="154"/>
        <v>10.155392890084377</v>
      </c>
      <c r="D887" s="21">
        <f t="shared" ca="1" si="158"/>
        <v>10.155392890084377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13.035074618679209</v>
      </c>
      <c r="C888" s="20">
        <f t="shared" ca="1" si="154"/>
        <v>7.2501092781091234</v>
      </c>
      <c r="D888" s="21">
        <f t="shared" ca="1" si="158"/>
        <v>7.2501092781091234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10.653078653928125</v>
      </c>
      <c r="C889" s="20">
        <f t="shared" ca="1" si="154"/>
        <v>12.179142672954203</v>
      </c>
      <c r="D889" s="21">
        <f t="shared" ca="1" si="158"/>
        <v>12.179142672954203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12.172602087593901</v>
      </c>
      <c r="C890" s="20">
        <f t="shared" ca="1" si="154"/>
        <v>6.2593944283887222</v>
      </c>
      <c r="D890" s="21">
        <f t="shared" ca="1" si="158"/>
        <v>6.2593944283887222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10.845823623025984</v>
      </c>
      <c r="C891" s="20">
        <f t="shared" ca="1" si="154"/>
        <v>12.865045351264936</v>
      </c>
      <c r="D891" s="21">
        <f t="shared" ca="1" si="158"/>
        <v>12.865045351264936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9.3688864691387153</v>
      </c>
      <c r="C892" s="20">
        <f t="shared" ca="1" si="154"/>
        <v>9.9263291775859077</v>
      </c>
      <c r="D892" s="21">
        <f t="shared" ref="D892:G911" ca="1" si="161">IF(AND(ISNUMBER($D$1),$F$1&gt;0,ISNUMBER(D$11),D$11&lt;=$H$1),_xlfn.NORM.INV(RAND(),$D$1,SQRT($F$1)),"")</f>
        <v>9.9263291775859077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11.060667009761726</v>
      </c>
      <c r="C893" s="20">
        <f t="shared" ca="1" si="154"/>
        <v>8.0967454011296311</v>
      </c>
      <c r="D893" s="21">
        <f t="shared" ca="1" si="161"/>
        <v>8.0967454011296311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10.70713258264227</v>
      </c>
      <c r="C894" s="20">
        <f t="shared" ca="1" si="154"/>
        <v>13.403249323713245</v>
      </c>
      <c r="D894" s="21">
        <f t="shared" ca="1" si="161"/>
        <v>13.403249323713245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9.9800870955263452</v>
      </c>
      <c r="C895" s="20">
        <f t="shared" ca="1" si="154"/>
        <v>11.503701954262176</v>
      </c>
      <c r="D895" s="21">
        <f t="shared" ca="1" si="161"/>
        <v>11.503701954262176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9.4289237068937286</v>
      </c>
      <c r="C896" s="20">
        <f t="shared" ca="1" si="154"/>
        <v>12.113717639288895</v>
      </c>
      <c r="D896" s="21">
        <f t="shared" ca="1" si="161"/>
        <v>12.113717639288895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11.02979416050802</v>
      </c>
      <c r="C897" s="20">
        <f t="shared" ca="1" si="154"/>
        <v>9.7187721740148945</v>
      </c>
      <c r="D897" s="21">
        <f t="shared" ca="1" si="161"/>
        <v>9.7187721740148945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10.373620352176575</v>
      </c>
      <c r="C898" s="20">
        <f t="shared" ca="1" si="154"/>
        <v>8.9736454719864369</v>
      </c>
      <c r="D898" s="21">
        <f t="shared" ca="1" si="161"/>
        <v>8.9736454719864369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11.139356707071737</v>
      </c>
      <c r="C899" s="20">
        <f t="shared" ca="1" si="154"/>
        <v>9.5511776470389371</v>
      </c>
      <c r="D899" s="21">
        <f t="shared" ca="1" si="161"/>
        <v>9.5511776470389371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8.664132197425884</v>
      </c>
      <c r="C900" s="20">
        <f t="shared" ca="1" si="154"/>
        <v>7.7618231753937543</v>
      </c>
      <c r="D900" s="21">
        <f t="shared" ca="1" si="161"/>
        <v>7.7618231753937543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12.788248188042399</v>
      </c>
      <c r="C901" s="20">
        <f t="shared" ca="1" si="154"/>
        <v>8.5641673291507718</v>
      </c>
      <c r="D901" s="21">
        <f t="shared" ca="1" si="161"/>
        <v>8.5641673291507718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13.451761349522483</v>
      </c>
      <c r="C902" s="20">
        <f t="shared" ca="1" si="154"/>
        <v>13.601735773813575</v>
      </c>
      <c r="D902" s="21">
        <f t="shared" ca="1" si="161"/>
        <v>13.601735773813575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7.8745531388462391</v>
      </c>
      <c r="C903" s="20">
        <f t="shared" ca="1" si="154"/>
        <v>12.43055888955733</v>
      </c>
      <c r="D903" s="21">
        <f t="shared" ca="1" si="161"/>
        <v>12.43055888955733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7.3040542223743907</v>
      </c>
      <c r="C904" s="20">
        <f t="shared" ca="1" si="154"/>
        <v>9.671563088026863</v>
      </c>
      <c r="D904" s="21">
        <f t="shared" ca="1" si="161"/>
        <v>9.671563088026863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10.785982811095897</v>
      </c>
      <c r="C905" s="20">
        <f t="shared" ca="1" si="154"/>
        <v>10.378147399869189</v>
      </c>
      <c r="D905" s="21">
        <f t="shared" ca="1" si="161"/>
        <v>10.378147399869189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10.756688950176654</v>
      </c>
      <c r="C906" s="20">
        <f t="shared" ca="1" si="154"/>
        <v>8.7025835585257543</v>
      </c>
      <c r="D906" s="21">
        <f t="shared" ca="1" si="161"/>
        <v>8.7025835585257543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10.065909459603649</v>
      </c>
      <c r="C907" s="20">
        <f t="shared" ca="1" si="154"/>
        <v>7.1137393000328863</v>
      </c>
      <c r="D907" s="21">
        <f t="shared" ca="1" si="161"/>
        <v>7.1137393000328863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13.520650587163775</v>
      </c>
      <c r="C908" s="20">
        <f t="shared" ca="1" si="154"/>
        <v>11.971014904020901</v>
      </c>
      <c r="D908" s="21">
        <f t="shared" ca="1" si="161"/>
        <v>11.971014904020901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8.4032678608083256</v>
      </c>
      <c r="C909" s="20">
        <f t="shared" ref="C909:C972" ca="1" si="165">IF(AND($H$1&gt;=1,ISNUMBER(D909)),AVERAGE(D909:W909),"")</f>
        <v>9.9315666889148559</v>
      </c>
      <c r="D909" s="21">
        <f t="shared" ca="1" si="161"/>
        <v>9.9315666889148559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14.154710758460013</v>
      </c>
      <c r="C910" s="20">
        <f t="shared" ca="1" si="165"/>
        <v>11.89416044897543</v>
      </c>
      <c r="D910" s="21">
        <f t="shared" ca="1" si="161"/>
        <v>11.89416044897543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6.7458238887732058</v>
      </c>
      <c r="C911" s="20">
        <f t="shared" ca="1" si="165"/>
        <v>12.064321781301439</v>
      </c>
      <c r="D911" s="21">
        <f t="shared" ca="1" si="161"/>
        <v>12.064321781301439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11.333931098092204</v>
      </c>
      <c r="C912" s="20">
        <f t="shared" ca="1" si="165"/>
        <v>6.0798304590017569</v>
      </c>
      <c r="D912" s="21">
        <f t="shared" ref="D912:G931" ca="1" si="166">IF(AND(ISNUMBER($D$1),$F$1&gt;0,ISNUMBER(D$11),D$11&lt;=$H$1),_xlfn.NORM.INV(RAND(),$D$1,SQRT($F$1)),"")</f>
        <v>6.0798304590017569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12.077475985504808</v>
      </c>
      <c r="C913" s="20">
        <f t="shared" ca="1" si="165"/>
        <v>10.288262962958891</v>
      </c>
      <c r="D913" s="21">
        <f t="shared" ca="1" si="166"/>
        <v>10.288262962958891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6.0760352164462184</v>
      </c>
      <c r="C914" s="20">
        <f t="shared" ca="1" si="165"/>
        <v>6.6454605080469555</v>
      </c>
      <c r="D914" s="21">
        <f t="shared" ca="1" si="166"/>
        <v>6.6454605080469555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9.4964996528285823</v>
      </c>
      <c r="C915" s="20">
        <f t="shared" ca="1" si="165"/>
        <v>10.190287770193999</v>
      </c>
      <c r="D915" s="21">
        <f t="shared" ca="1" si="166"/>
        <v>10.190287770193999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9.8496755290663387</v>
      </c>
      <c r="C916" s="20">
        <f t="shared" ca="1" si="165"/>
        <v>7.0865759384628344</v>
      </c>
      <c r="D916" s="21">
        <f t="shared" ca="1" si="166"/>
        <v>7.0865759384628344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10.250429784544494</v>
      </c>
      <c r="C917" s="20">
        <f t="shared" ca="1" si="165"/>
        <v>9.7616422905532545</v>
      </c>
      <c r="D917" s="21">
        <f t="shared" ca="1" si="166"/>
        <v>9.7616422905532545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9.7221922127622999</v>
      </c>
      <c r="C918" s="20">
        <f t="shared" ca="1" si="165"/>
        <v>11.186417992206907</v>
      </c>
      <c r="D918" s="21">
        <f t="shared" ca="1" si="166"/>
        <v>11.186417992206907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9.8048353289112917</v>
      </c>
      <c r="C919" s="20">
        <f t="shared" ca="1" si="165"/>
        <v>8.1941826409243621</v>
      </c>
      <c r="D919" s="21">
        <f t="shared" ca="1" si="166"/>
        <v>8.1941826409243621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13.18584847176103</v>
      </c>
      <c r="C920" s="20">
        <f t="shared" ca="1" si="165"/>
        <v>7.7578472072679503</v>
      </c>
      <c r="D920" s="21">
        <f t="shared" ca="1" si="166"/>
        <v>7.7578472072679503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6.9802529091146877</v>
      </c>
      <c r="C921" s="20">
        <f t="shared" ca="1" si="165"/>
        <v>15.391163975816053</v>
      </c>
      <c r="D921" s="21">
        <f t="shared" ca="1" si="166"/>
        <v>15.391163975816053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12.381634758500374</v>
      </c>
      <c r="C922" s="20">
        <f t="shared" ca="1" si="165"/>
        <v>9.4817441010223504</v>
      </c>
      <c r="D922" s="21">
        <f t="shared" ca="1" si="166"/>
        <v>9.4817441010223504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8.8809486368362389</v>
      </c>
      <c r="C923" s="20">
        <f t="shared" ca="1" si="165"/>
        <v>6.9020146967931293</v>
      </c>
      <c r="D923" s="21">
        <f t="shared" ca="1" si="166"/>
        <v>6.9020146967931293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9.0938716676369893</v>
      </c>
      <c r="C924" s="20">
        <f t="shared" ca="1" si="165"/>
        <v>9.2782596940836584</v>
      </c>
      <c r="D924" s="21">
        <f t="shared" ca="1" si="166"/>
        <v>9.2782596940836584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14.062307652533228</v>
      </c>
      <c r="C925" s="20">
        <f t="shared" ca="1" si="165"/>
        <v>11.615678698041933</v>
      </c>
      <c r="D925" s="21">
        <f t="shared" ca="1" si="166"/>
        <v>11.615678698041933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8.9394653527547021</v>
      </c>
      <c r="C926" s="20">
        <f t="shared" ca="1" si="165"/>
        <v>10.326417873507962</v>
      </c>
      <c r="D926" s="21">
        <f t="shared" ca="1" si="166"/>
        <v>10.326417873507962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9.2681464889372513</v>
      </c>
      <c r="C927" s="20">
        <f t="shared" ca="1" si="165"/>
        <v>7.7523857970628303</v>
      </c>
      <c r="D927" s="21">
        <f t="shared" ca="1" si="166"/>
        <v>7.7523857970628303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12.604525881723257</v>
      </c>
      <c r="C928" s="20">
        <f t="shared" ca="1" si="165"/>
        <v>13.147817152874612</v>
      </c>
      <c r="D928" s="21">
        <f t="shared" ca="1" si="166"/>
        <v>13.147817152874612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11.881665291356445</v>
      </c>
      <c r="C929" s="20">
        <f t="shared" ca="1" si="165"/>
        <v>4.7365478360222788</v>
      </c>
      <c r="D929" s="21">
        <f t="shared" ca="1" si="166"/>
        <v>4.7365478360222788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8.363719128558408</v>
      </c>
      <c r="C930" s="20">
        <f t="shared" ca="1" si="165"/>
        <v>7.9236249422710152</v>
      </c>
      <c r="D930" s="21">
        <f t="shared" ca="1" si="166"/>
        <v>7.9236249422710152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9.3852391180406265</v>
      </c>
      <c r="C931" s="20">
        <f t="shared" ca="1" si="165"/>
        <v>6.2714363768635497</v>
      </c>
      <c r="D931" s="21">
        <f t="shared" ca="1" si="166"/>
        <v>6.2714363768635497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11.294235456623774</v>
      </c>
      <c r="C932" s="20">
        <f t="shared" ca="1" si="165"/>
        <v>9.4864847823213321</v>
      </c>
      <c r="D932" s="21">
        <f t="shared" ref="D932:G951" ca="1" si="169">IF(AND(ISNUMBER($D$1),$F$1&gt;0,ISNUMBER(D$11),D$11&lt;=$H$1),_xlfn.NORM.INV(RAND(),$D$1,SQRT($F$1)),"")</f>
        <v>9.4864847823213321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9.5916888553747874</v>
      </c>
      <c r="C933" s="20">
        <f t="shared" ca="1" si="165"/>
        <v>7.4068551822981545</v>
      </c>
      <c r="D933" s="21">
        <f t="shared" ca="1" si="169"/>
        <v>7.4068551822981545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13.170989342726767</v>
      </c>
      <c r="C934" s="20">
        <f t="shared" ca="1" si="165"/>
        <v>12.435341238667018</v>
      </c>
      <c r="D934" s="21">
        <f t="shared" ca="1" si="169"/>
        <v>12.435341238667018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10.257071319433834</v>
      </c>
      <c r="C935" s="20">
        <f t="shared" ca="1" si="165"/>
        <v>8.072388726829967</v>
      </c>
      <c r="D935" s="21">
        <f t="shared" ca="1" si="169"/>
        <v>8.072388726829967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9.7277768854519255</v>
      </c>
      <c r="C936" s="20">
        <f t="shared" ca="1" si="165"/>
        <v>11.9922426034962</v>
      </c>
      <c r="D936" s="21">
        <f t="shared" ca="1" si="169"/>
        <v>11.9922426034962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10.247322445703407</v>
      </c>
      <c r="C937" s="20">
        <f t="shared" ca="1" si="165"/>
        <v>7.0098092041307627</v>
      </c>
      <c r="D937" s="21">
        <f t="shared" ca="1" si="169"/>
        <v>7.0098092041307627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11.29204243109727</v>
      </c>
      <c r="C938" s="20">
        <f t="shared" ca="1" si="165"/>
        <v>13.060455037600811</v>
      </c>
      <c r="D938" s="21">
        <f t="shared" ca="1" si="169"/>
        <v>13.060455037600811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16.220750110655374</v>
      </c>
      <c r="C939" s="20">
        <f t="shared" ca="1" si="165"/>
        <v>7.7257705480882333</v>
      </c>
      <c r="D939" s="21">
        <f t="shared" ca="1" si="169"/>
        <v>7.7257705480882333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9.8811870190903388</v>
      </c>
      <c r="C940" s="20">
        <f t="shared" ca="1" si="165"/>
        <v>9.587549776021131</v>
      </c>
      <c r="D940" s="21">
        <f t="shared" ca="1" si="169"/>
        <v>9.587549776021131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10.353983577203415</v>
      </c>
      <c r="C941" s="20">
        <f t="shared" ca="1" si="165"/>
        <v>10.156328592332539</v>
      </c>
      <c r="D941" s="21">
        <f t="shared" ca="1" si="169"/>
        <v>10.156328592332539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8.8727072110538519</v>
      </c>
      <c r="C942" s="20">
        <f t="shared" ca="1" si="165"/>
        <v>12.700382695788848</v>
      </c>
      <c r="D942" s="21">
        <f t="shared" ca="1" si="169"/>
        <v>12.700382695788848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12.236510548140718</v>
      </c>
      <c r="C943" s="20">
        <f t="shared" ca="1" si="165"/>
        <v>12.082631672397513</v>
      </c>
      <c r="D943" s="21">
        <f t="shared" ca="1" si="169"/>
        <v>12.082631672397513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9.4373122992712624</v>
      </c>
      <c r="C944" s="20">
        <f t="shared" ca="1" si="165"/>
        <v>8.1679343170449634</v>
      </c>
      <c r="D944" s="21">
        <f t="shared" ca="1" si="169"/>
        <v>8.1679343170449634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9.9601295631879587</v>
      </c>
      <c r="C945" s="20">
        <f t="shared" ca="1" si="165"/>
        <v>10.164623761364975</v>
      </c>
      <c r="D945" s="21">
        <f t="shared" ca="1" si="169"/>
        <v>10.164623761364975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7.8591689950541088</v>
      </c>
      <c r="C946" s="20">
        <f t="shared" ca="1" si="165"/>
        <v>8.7281294758091832</v>
      </c>
      <c r="D946" s="21">
        <f t="shared" ca="1" si="169"/>
        <v>8.7281294758091832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5.7569972278094879</v>
      </c>
      <c r="C947" s="20">
        <f t="shared" ca="1" si="165"/>
        <v>8.2370073175340792</v>
      </c>
      <c r="D947" s="21">
        <f t="shared" ca="1" si="169"/>
        <v>8.2370073175340792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11.522549447053516</v>
      </c>
      <c r="C948" s="20">
        <f t="shared" ca="1" si="165"/>
        <v>13.29984456885872</v>
      </c>
      <c r="D948" s="21">
        <f t="shared" ca="1" si="169"/>
        <v>13.29984456885872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9.0734662360889153</v>
      </c>
      <c r="C949" s="20">
        <f t="shared" ca="1" si="165"/>
        <v>8.3062713457377004</v>
      </c>
      <c r="D949" s="21">
        <f t="shared" ca="1" si="169"/>
        <v>8.3062713457377004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10.039300737555923</v>
      </c>
      <c r="C950" s="20">
        <f t="shared" ca="1" si="165"/>
        <v>9.8235954220838888</v>
      </c>
      <c r="D950" s="21">
        <f t="shared" ca="1" si="169"/>
        <v>9.8235954220838888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10.653692479760778</v>
      </c>
      <c r="C951" s="20">
        <f t="shared" ca="1" si="165"/>
        <v>10.838563336839895</v>
      </c>
      <c r="D951" s="21">
        <f t="shared" ca="1" si="169"/>
        <v>10.838563336839895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12.828068543405832</v>
      </c>
      <c r="C952" s="20">
        <f t="shared" ca="1" si="165"/>
        <v>12.629707221589094</v>
      </c>
      <c r="D952" s="21">
        <f t="shared" ref="D952:G971" ca="1" si="172">IF(AND(ISNUMBER($D$1),$F$1&gt;0,ISNUMBER(D$11),D$11&lt;=$H$1),_xlfn.NORM.INV(RAND(),$D$1,SQRT($F$1)),"")</f>
        <v>12.629707221589094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15.078478942912701</v>
      </c>
      <c r="C953" s="20">
        <f t="shared" ca="1" si="165"/>
        <v>8.1797593662015764</v>
      </c>
      <c r="D953" s="21">
        <f t="shared" ca="1" si="172"/>
        <v>8.1797593662015764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9.5285798661984611</v>
      </c>
      <c r="C954" s="20">
        <f t="shared" ca="1" si="165"/>
        <v>9.3982466346279665</v>
      </c>
      <c r="D954" s="21">
        <f t="shared" ca="1" si="172"/>
        <v>9.3982466346279665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7.8748870126093573</v>
      </c>
      <c r="C955" s="20">
        <f t="shared" ca="1" si="165"/>
        <v>9.6223803360906395</v>
      </c>
      <c r="D955" s="21">
        <f t="shared" ca="1" si="172"/>
        <v>9.6223803360906395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10.185095981414372</v>
      </c>
      <c r="C956" s="20">
        <f t="shared" ca="1" si="165"/>
        <v>11.941109637373733</v>
      </c>
      <c r="D956" s="21">
        <f t="shared" ca="1" si="172"/>
        <v>11.941109637373733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11.095261966746124</v>
      </c>
      <c r="C957" s="20">
        <f t="shared" ca="1" si="165"/>
        <v>10.495766586853971</v>
      </c>
      <c r="D957" s="21">
        <f t="shared" ca="1" si="172"/>
        <v>10.495766586853971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13.211538278804383</v>
      </c>
      <c r="C958" s="20">
        <f t="shared" ca="1" si="165"/>
        <v>10.871042050848832</v>
      </c>
      <c r="D958" s="21">
        <f t="shared" ca="1" si="172"/>
        <v>10.871042050848832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9.9494348661845589</v>
      </c>
      <c r="C959" s="20">
        <f t="shared" ca="1" si="165"/>
        <v>5.6622670850536805</v>
      </c>
      <c r="D959" s="21">
        <f t="shared" ca="1" si="172"/>
        <v>5.6622670850536805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12.574115669859584</v>
      </c>
      <c r="C960" s="20">
        <f t="shared" ca="1" si="165"/>
        <v>9.9790059288929598</v>
      </c>
      <c r="D960" s="21">
        <f t="shared" ca="1" si="172"/>
        <v>9.9790059288929598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8.8167635294575497</v>
      </c>
      <c r="C961" s="20">
        <f t="shared" ca="1" si="165"/>
        <v>9.0927130395709987</v>
      </c>
      <c r="D961" s="21">
        <f t="shared" ca="1" si="172"/>
        <v>9.0927130395709987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13.129877456015283</v>
      </c>
      <c r="C962" s="20">
        <f t="shared" ca="1" si="165"/>
        <v>12.361252553532916</v>
      </c>
      <c r="D962" s="21">
        <f t="shared" ca="1" si="172"/>
        <v>12.361252553532916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11.362399551862623</v>
      </c>
      <c r="C963" s="20">
        <f t="shared" ca="1" si="165"/>
        <v>5.9746654765091121</v>
      </c>
      <c r="D963" s="21">
        <f t="shared" ca="1" si="172"/>
        <v>5.9746654765091121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5.9330047080750159</v>
      </c>
      <c r="C964" s="20">
        <f t="shared" ca="1" si="165"/>
        <v>13.33892689495296</v>
      </c>
      <c r="D964" s="21">
        <f t="shared" ca="1" si="172"/>
        <v>13.33892689495296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8.4196429270220605</v>
      </c>
      <c r="C965" s="20">
        <f t="shared" ca="1" si="165"/>
        <v>5.5159049674487983</v>
      </c>
      <c r="D965" s="21">
        <f t="shared" ca="1" si="172"/>
        <v>5.5159049674487983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11.007892406280629</v>
      </c>
      <c r="C966" s="20">
        <f t="shared" ca="1" si="165"/>
        <v>9.482020036761222</v>
      </c>
      <c r="D966" s="21">
        <f t="shared" ca="1" si="172"/>
        <v>9.482020036761222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8.3700403793544798</v>
      </c>
      <c r="C967" s="20">
        <f t="shared" ca="1" si="165"/>
        <v>8.1036314520061605</v>
      </c>
      <c r="D967" s="21">
        <f t="shared" ca="1" si="172"/>
        <v>8.1036314520061605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10.139227057014764</v>
      </c>
      <c r="C968" s="20">
        <f t="shared" ca="1" si="165"/>
        <v>10.906850297479552</v>
      </c>
      <c r="D968" s="21">
        <f t="shared" ca="1" si="172"/>
        <v>10.906850297479552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8.2583680609484418</v>
      </c>
      <c r="C969" s="20">
        <f t="shared" ca="1" si="165"/>
        <v>7.2610497233342262</v>
      </c>
      <c r="D969" s="21">
        <f t="shared" ca="1" si="172"/>
        <v>7.2610497233342262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13.076025233830919</v>
      </c>
      <c r="C970" s="20">
        <f t="shared" ca="1" si="165"/>
        <v>11.880723155416714</v>
      </c>
      <c r="D970" s="21">
        <f t="shared" ca="1" si="172"/>
        <v>11.880723155416714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7.1834461235247327</v>
      </c>
      <c r="C971" s="20">
        <f t="shared" ca="1" si="165"/>
        <v>8.801071571358758</v>
      </c>
      <c r="D971" s="21">
        <f t="shared" ca="1" si="172"/>
        <v>8.801071571358758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8.5845980658174756</v>
      </c>
      <c r="C972" s="20">
        <f t="shared" ca="1" si="165"/>
        <v>10.327121610818214</v>
      </c>
      <c r="D972" s="21">
        <f t="shared" ref="D972:G991" ca="1" si="175">IF(AND(ISNUMBER($D$1),$F$1&gt;0,ISNUMBER(D$11),D$11&lt;=$H$1),_xlfn.NORM.INV(RAND(),$D$1,SQRT($F$1)),"")</f>
        <v>10.327121610818214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8.2557551970374732</v>
      </c>
      <c r="C973" s="20">
        <f t="shared" ref="C973:C1011" ca="1" si="178">IF(AND($H$1&gt;=1,ISNUMBER(D973)),AVERAGE(D973:W973),"")</f>
        <v>12.755735826530778</v>
      </c>
      <c r="D973" s="21">
        <f t="shared" ca="1" si="175"/>
        <v>12.755735826530778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12.478445156820474</v>
      </c>
      <c r="C974" s="20">
        <f t="shared" ca="1" si="178"/>
        <v>9.9248155679212147</v>
      </c>
      <c r="D974" s="21">
        <f t="shared" ca="1" si="175"/>
        <v>9.9248155679212147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9.4209449003155825</v>
      </c>
      <c r="C975" s="20">
        <f t="shared" ca="1" si="178"/>
        <v>9.9638153505967662</v>
      </c>
      <c r="D975" s="21">
        <f t="shared" ca="1" si="175"/>
        <v>9.9638153505967662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10.279991858009197</v>
      </c>
      <c r="C976" s="20">
        <f t="shared" ca="1" si="178"/>
        <v>10.938605598547177</v>
      </c>
      <c r="D976" s="21">
        <f t="shared" ca="1" si="175"/>
        <v>10.938605598547177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11.073756599526483</v>
      </c>
      <c r="C977" s="20">
        <f t="shared" ca="1" si="178"/>
        <v>8.3201220069522037</v>
      </c>
      <c r="D977" s="21">
        <f t="shared" ca="1" si="175"/>
        <v>8.3201220069522037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10.211896400734089</v>
      </c>
      <c r="C978" s="20">
        <f t="shared" ca="1" si="178"/>
        <v>10.189373116350335</v>
      </c>
      <c r="D978" s="21">
        <f t="shared" ca="1" si="175"/>
        <v>10.189373116350335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8.0218210122868605</v>
      </c>
      <c r="C979" s="20">
        <f t="shared" ca="1" si="178"/>
        <v>8.9565058843942023</v>
      </c>
      <c r="D979" s="21">
        <f t="shared" ca="1" si="175"/>
        <v>8.9565058843942023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10.242755013449884</v>
      </c>
      <c r="C980" s="20">
        <f t="shared" ca="1" si="178"/>
        <v>9.5169311772945751</v>
      </c>
      <c r="D980" s="21">
        <f t="shared" ca="1" si="175"/>
        <v>9.5169311772945751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8.7230589975369988</v>
      </c>
      <c r="C981" s="20">
        <f t="shared" ca="1" si="178"/>
        <v>9.5795914758397647</v>
      </c>
      <c r="D981" s="21">
        <f t="shared" ca="1" si="175"/>
        <v>9.5795914758397647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10.475065567557353</v>
      </c>
      <c r="C982" s="20">
        <f t="shared" ca="1" si="178"/>
        <v>9.9995117768093689</v>
      </c>
      <c r="D982" s="21">
        <f t="shared" ca="1" si="175"/>
        <v>9.9995117768093689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9.5308788046384443</v>
      </c>
      <c r="C983" s="20">
        <f t="shared" ca="1" si="178"/>
        <v>9.3812773845607431</v>
      </c>
      <c r="D983" s="21">
        <f t="shared" ca="1" si="175"/>
        <v>9.3812773845607431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10.002371628495077</v>
      </c>
      <c r="C984" s="20">
        <f t="shared" ca="1" si="178"/>
        <v>8.666552134766432</v>
      </c>
      <c r="D984" s="21">
        <f t="shared" ca="1" si="175"/>
        <v>8.666552134766432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12.080776531988706</v>
      </c>
      <c r="C985" s="20">
        <f t="shared" ca="1" si="178"/>
        <v>8.5989871544301977</v>
      </c>
      <c r="D985" s="21">
        <f t="shared" ca="1" si="175"/>
        <v>8.5989871544301977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9.856109675604225</v>
      </c>
      <c r="C986" s="20">
        <f t="shared" ca="1" si="178"/>
        <v>9.8001307778050997</v>
      </c>
      <c r="D986" s="21">
        <f t="shared" ca="1" si="175"/>
        <v>9.8001307778050997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11.937814297112489</v>
      </c>
      <c r="C987" s="20">
        <f t="shared" ca="1" si="178"/>
        <v>9.8549045352379743</v>
      </c>
      <c r="D987" s="21">
        <f t="shared" ca="1" si="175"/>
        <v>9.8549045352379743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9.0079461809253303</v>
      </c>
      <c r="C988" s="20">
        <f t="shared" ca="1" si="178"/>
        <v>11.960475394344762</v>
      </c>
      <c r="D988" s="21">
        <f t="shared" ca="1" si="175"/>
        <v>11.960475394344762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8.2143294468234291</v>
      </c>
      <c r="C989" s="20">
        <f t="shared" ca="1" si="178"/>
        <v>11.491411353045672</v>
      </c>
      <c r="D989" s="21">
        <f t="shared" ca="1" si="175"/>
        <v>11.491411353045672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9.4232679398474684</v>
      </c>
      <c r="C990" s="20">
        <f t="shared" ca="1" si="178"/>
        <v>14.363955041842605</v>
      </c>
      <c r="D990" s="21">
        <f t="shared" ca="1" si="175"/>
        <v>14.363955041842605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9.2311709105121835</v>
      </c>
      <c r="C991" s="20">
        <f t="shared" ca="1" si="178"/>
        <v>4.8682034725252707</v>
      </c>
      <c r="D991" s="21">
        <f t="shared" ca="1" si="175"/>
        <v>4.8682034725252707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9.6890067102482682</v>
      </c>
      <c r="C992" s="20">
        <f t="shared" ca="1" si="178"/>
        <v>11.372013649009022</v>
      </c>
      <c r="D992" s="21">
        <f t="shared" ref="D992:G1011" ca="1" si="180">IF(AND(ISNUMBER($D$1),$F$1&gt;0,ISNUMBER(D$11),D$11&lt;=$H$1),_xlfn.NORM.INV(RAND(),$D$1,SQRT($F$1)),"")</f>
        <v>11.372013649009022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11.160996790355545</v>
      </c>
      <c r="C993" s="20">
        <f t="shared" ca="1" si="178"/>
        <v>7.8397177500970692</v>
      </c>
      <c r="D993" s="21">
        <f t="shared" ca="1" si="180"/>
        <v>7.8397177500970692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11.437312793862949</v>
      </c>
      <c r="C994" s="20">
        <f t="shared" ca="1" si="178"/>
        <v>12.898585777453405</v>
      </c>
      <c r="D994" s="21">
        <f t="shared" ca="1" si="180"/>
        <v>12.898585777453405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8.0653873846248239</v>
      </c>
      <c r="C995" s="20">
        <f t="shared" ca="1" si="178"/>
        <v>7.6825696872066054</v>
      </c>
      <c r="D995" s="21">
        <f t="shared" ca="1" si="180"/>
        <v>7.6825696872066054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11.176050936841214</v>
      </c>
      <c r="C996" s="20">
        <f t="shared" ca="1" si="178"/>
        <v>11.151050591932457</v>
      </c>
      <c r="D996" s="21">
        <f t="shared" ca="1" si="180"/>
        <v>11.151050591932457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10.013660970631399</v>
      </c>
      <c r="C997" s="20">
        <f t="shared" ca="1" si="178"/>
        <v>11.641432290598933</v>
      </c>
      <c r="D997" s="21">
        <f t="shared" ca="1" si="180"/>
        <v>11.641432290598933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10.343691215556092</v>
      </c>
      <c r="C998" s="20">
        <f t="shared" ca="1" si="178"/>
        <v>9.7787439847065585</v>
      </c>
      <c r="D998" s="21">
        <f t="shared" ca="1" si="180"/>
        <v>9.7787439847065585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13.058155855572986</v>
      </c>
      <c r="C999" s="20">
        <f t="shared" ca="1" si="178"/>
        <v>13.168085528049449</v>
      </c>
      <c r="D999" s="21">
        <f t="shared" ca="1" si="180"/>
        <v>13.168085528049449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7.5453238829648024</v>
      </c>
      <c r="C1000" s="20">
        <f t="shared" ca="1" si="178"/>
        <v>8.8466036133786314</v>
      </c>
      <c r="D1000" s="21">
        <f t="shared" ca="1" si="180"/>
        <v>8.8466036133786314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10.437165230459595</v>
      </c>
      <c r="C1001" s="20">
        <f t="shared" ca="1" si="178"/>
        <v>8.728333856299777</v>
      </c>
      <c r="D1001" s="21">
        <f t="shared" ca="1" si="180"/>
        <v>8.728333856299777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11.729985676599533</v>
      </c>
      <c r="C1002" s="20">
        <f t="shared" ca="1" si="178"/>
        <v>8.2099191732619783</v>
      </c>
      <c r="D1002" s="21">
        <f t="shared" ca="1" si="180"/>
        <v>8.2099191732619783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5.6890430988714149</v>
      </c>
      <c r="C1003" s="20">
        <f t="shared" ca="1" si="178"/>
        <v>9.9956327837986549</v>
      </c>
      <c r="D1003" s="21">
        <f t="shared" ca="1" si="180"/>
        <v>9.9956327837986549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9.4206834197151199</v>
      </c>
      <c r="C1004" s="20">
        <f t="shared" ca="1" si="178"/>
        <v>9.5860077385183065</v>
      </c>
      <c r="D1004" s="21">
        <f t="shared" ca="1" si="180"/>
        <v>9.5860077385183065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5.3173505635130169</v>
      </c>
      <c r="C1005" s="20">
        <f t="shared" ca="1" si="178"/>
        <v>8.8004307121282004</v>
      </c>
      <c r="D1005" s="21">
        <f t="shared" ca="1" si="180"/>
        <v>8.8004307121282004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9.6872024542909472</v>
      </c>
      <c r="C1006" s="20">
        <f t="shared" ca="1" si="178"/>
        <v>10.598562500237817</v>
      </c>
      <c r="D1006" s="21">
        <f t="shared" ca="1" si="180"/>
        <v>10.598562500237817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14.602135006019855</v>
      </c>
      <c r="C1007" s="20">
        <f t="shared" ca="1" si="178"/>
        <v>9.6076610095327393</v>
      </c>
      <c r="D1007" s="21">
        <f t="shared" ca="1" si="180"/>
        <v>9.6076610095327393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8.7628481942186109</v>
      </c>
      <c r="C1008" s="20">
        <f t="shared" ca="1" si="178"/>
        <v>8.348105408399185</v>
      </c>
      <c r="D1008" s="21">
        <f t="shared" ca="1" si="180"/>
        <v>8.348105408399185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7.0938979454734579</v>
      </c>
      <c r="C1009" s="20">
        <f t="shared" ca="1" si="178"/>
        <v>12.301652787831994</v>
      </c>
      <c r="D1009" s="21">
        <f t="shared" ca="1" si="180"/>
        <v>12.301652787831994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12.069977219472339</v>
      </c>
      <c r="C1010" s="20">
        <f t="shared" ca="1" si="178"/>
        <v>12.920647037445772</v>
      </c>
      <c r="D1010" s="21">
        <f t="shared" ca="1" si="180"/>
        <v>12.920647037445772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9.9713076642485543</v>
      </c>
      <c r="C1011" s="20">
        <f t="shared" ca="1" si="178"/>
        <v>8.7277406956971699</v>
      </c>
      <c r="D1011" s="21">
        <f t="shared" ca="1" si="180"/>
        <v>8.7277406956971699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customXml/itemProps2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2025-05-26T16:56:13Z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