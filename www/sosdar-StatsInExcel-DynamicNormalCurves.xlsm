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909752A6-9FD8-4B57-BE85-0F7CB925DD88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<sst xmlns="http://schemas.openxmlformats.org/spreadsheetml/2006/main" count="53" uniqueCount="45">
  <si>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</si>
  <si>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</si>
  <si>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</si>
  <si>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</si>
  <si>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</si>
  <si>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</si>
  <si>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</si>
  <si>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</si>
  <si>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</si>
  <si>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</si>
  <si>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</si>
  <si>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</si>
  <si>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</si>
  <si>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</si>
  <si>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</si>
  <si>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</si>
  <si>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</si>
  <si>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</si>
  <si>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</si>
  <si>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</si>
  <si>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</si>
  <si>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</si>
  <si>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</si>
  <si>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</si>
  <si>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</si>
  <si>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</si>
  <si>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</si>
  <si>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</si>
  <si>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</si>
  <si>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</si>
  <si>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</si>
  <si>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</si>
  <si>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</si>
  <si>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</si>
  <si>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</si>
  <si>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</si>
  <si>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</si>
  <si>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</si>
  <si>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</si>
  <si>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</si>
  <si>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</si>
  <si>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</si>
  <si>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</si>
  <si>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</si>
  <si>
    <t>https://youtu.be/o6-8Fpar9os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</si>
</sst>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5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0" fillId="3" borderId="0" xfId="2" applyFont="1" applyFill="1"/>
    <xf numFmtId="0" fontId="32" fillId="4" borderId="1" xfId="0" applyFont="1" applyFill="1" applyBorder="1" applyProtection="1">
      <protection locked="0"/>
    </xf>
    <xf numFmtId="0" fontId="33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0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34" fillId="3" borderId="0" xfId="5" applyFill="1"/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1" fillId="5" borderId="18" xfId="2" applyFont="1" applyFill="1" applyBorder="1" applyAlignment="1">
      <alignment horizontal="center"/>
    </xf>
    <xf numFmtId="0" fontId="31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o6-8Fpar9os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34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35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/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71" t="s">
        <v>43</v>
      </c>
    </row>
    <row r="4" spans="5:5" ht="13.8" x14ac:dyDescent="0.25">
      <c r="E4" s="71" t="s">
        <v>44</v>
      </c>
    </row>
    <row r="1970" spans="5:5" x14ac:dyDescent="0.25">
      <c r="E1970" s="37" t="s">
        <v>33</v>
      </c>
    </row>
  </sheetData>
  <sheetProtection algorithmName="SHA-512" hashValue="g75FgeMAqupZ2C43vzDa68pxKVoDrYw6FVJUmV/TlIBSlcdTycxwVEKTCGDrsMMOxQ42a2exGTtGgbJK1FaIig==" saltValue="AzsSrpQ9Keht9hCLZaieeg==" spinCount="100000" sheet="1" selectLockedCells="1" selectUnlockedCells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8">
        <v>10</v>
      </c>
    </row>
    <row r="2" spans="1:6" x14ac:dyDescent="0.25">
      <c r="A2" s="1" t="s">
        <v>10</v>
      </c>
      <c r="B2" s="59">
        <v>4</v>
      </c>
    </row>
    <row r="3" spans="1:6" x14ac:dyDescent="0.25">
      <c r="A3" s="1" t="s">
        <v>7</v>
      </c>
      <c r="B3" s="55">
        <v>0</v>
      </c>
    </row>
    <row r="6" spans="1:6" x14ac:dyDescent="0.25">
      <c r="A6" s="1" t="s">
        <v>42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4">
        <f>B2/B6</f>
        <v>4</v>
      </c>
      <c r="C8" s="53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2" t="s">
        <v>11</v>
      </c>
      <c r="B12" s="72"/>
    </row>
    <row r="13" spans="1:6" x14ac:dyDescent="0.25">
      <c r="A13" s="72"/>
      <c r="B13" s="72"/>
    </row>
    <row r="14" spans="1:6" x14ac:dyDescent="0.25">
      <c r="A14" s="72"/>
      <c r="B14" s="72"/>
    </row>
    <row r="15" spans="1:6" x14ac:dyDescent="0.25">
      <c r="A15" s="72"/>
      <c r="B15" s="72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2">
        <f>NormalCurves!B7</f>
        <v>10</v>
      </c>
      <c r="E1" s="9" t="s">
        <v>16</v>
      </c>
      <c r="F1" s="61">
        <f>NormalCurves!B2</f>
        <v>4</v>
      </c>
      <c r="G1" s="9" t="s">
        <v>17</v>
      </c>
      <c r="H1" s="60">
        <f>NormalCurves!C6</f>
        <v>1</v>
      </c>
      <c r="I1" s="10" t="s">
        <v>15</v>
      </c>
      <c r="J1" s="75" t="s">
        <v>39</v>
      </c>
      <c r="K1" s="75"/>
      <c r="L1" s="75"/>
      <c r="M1" s="75"/>
      <c r="N1" s="75"/>
      <c r="O1" s="75"/>
      <c r="P1" s="75"/>
      <c r="Q1" s="75"/>
      <c r="R1" s="75"/>
      <c r="S1" s="75"/>
    </row>
    <row r="2" spans="1:23" ht="28.2" thickBot="1" x14ac:dyDescent="0.3">
      <c r="A2" s="63" t="s">
        <v>38</v>
      </c>
      <c r="B2" s="64" t="s">
        <v>14</v>
      </c>
      <c r="C2" s="65" t="s">
        <v>21</v>
      </c>
      <c r="D2" s="66">
        <f>IF(ISNUMBER(D1),D1,"")</f>
        <v>10</v>
      </c>
      <c r="E2" s="65" t="s">
        <v>22</v>
      </c>
      <c r="F2" s="67">
        <f>IF(AND(F1&gt;0,H1&gt;=1),F1/H1,"")</f>
        <v>4</v>
      </c>
      <c r="G2" s="76" t="s">
        <v>30</v>
      </c>
      <c r="H2" s="77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2" t="s">
        <v>41</v>
      </c>
      <c r="F4" s="83"/>
      <c r="G4" s="83"/>
      <c r="H4" s="83"/>
      <c r="I4" s="83"/>
      <c r="J4" s="84"/>
    </row>
    <row r="5" spans="1:23" ht="14.4" x14ac:dyDescent="0.3">
      <c r="E5" s="14" t="s">
        <v>25</v>
      </c>
      <c r="F5" s="15" t="s">
        <v>26</v>
      </c>
      <c r="G5" s="78" t="s">
        <v>19</v>
      </c>
      <c r="H5" s="79"/>
      <c r="I5" s="80" t="s">
        <v>38</v>
      </c>
      <c r="J5" s="81"/>
    </row>
    <row r="6" spans="1:23" ht="14.4" x14ac:dyDescent="0.3">
      <c r="A6" s="56" t="s">
        <v>23</v>
      </c>
      <c r="B6" s="22">
        <f ca="1">IF(ISNUMBER(B12),AVERAGE(B12:B1011),"")</f>
        <v>10.018501433802632</v>
      </c>
      <c r="C6" s="23">
        <f ca="1">IF(ISNUMBER(C12),AVERAGE(C12:C1011),"")</f>
        <v>9.9907137980666647</v>
      </c>
      <c r="E6" s="16">
        <v>1</v>
      </c>
      <c r="F6" s="17" t="s">
        <v>29</v>
      </c>
      <c r="G6" s="73">
        <f ca="1">IF(ISNUMBER(B12),COUNTIFS($B$12:$B$1011,"&gt;="&amp;$D$1-$E6*SQRT($F$1),$B$12:$B$1011,"&lt;="&amp;$D$1+$E6*SQRT($F$1))/COUNT($B$12:$B$1011),"")</f>
        <v>0.68</v>
      </c>
      <c r="H6" s="74"/>
      <c r="I6" s="73">
        <f ca="1">IF(ISNUMBER(C12),COUNTIFS($C$12:$C$1011,"&gt;="&amp;$D$2-$E6*SQRT($F$2),$C$12:$C$1011,"&lt;="&amp;$D$2+$E6*SQRT($F$2))/COUNT($C$12:$C$1011),"")</f>
        <v>0.68</v>
      </c>
      <c r="J6" s="74"/>
    </row>
    <row r="7" spans="1:23" ht="14.4" x14ac:dyDescent="0.3">
      <c r="A7" s="56" t="s">
        <v>24</v>
      </c>
      <c r="B7" s="24">
        <f ca="1">IF(ISNUMBER(B12),_xlfn.VAR.S(B12:B1011),"")</f>
        <v>3.9373935967092333</v>
      </c>
      <c r="C7" s="25">
        <f ca="1">IF(ISNUMBER(C12),_xlfn.VAR.S(C12:C1011),"")</f>
        <v>4.1200632020021857</v>
      </c>
      <c r="E7" s="16">
        <v>2</v>
      </c>
      <c r="F7" s="17" t="s">
        <v>27</v>
      </c>
      <c r="G7" s="73">
        <f ca="1">IF(ISNUMBER(B13),COUNTIFS($B$12:$B$1011,"&gt;="&amp;$D$1-$E7*SQRT($F$1),$B$12:$B$1011,"&lt;="&amp;$D$1+$E7*SQRT($F$1))/COUNT($B$12:$B$1011),"")</f>
        <v>0.96299999999999997</v>
      </c>
      <c r="H7" s="74"/>
      <c r="I7" s="73">
        <f ca="1">IF(ISNUMBER(C13),COUNTIFS($C$12:$C$1011,"&gt;="&amp;$D$2-$E7*SQRT($F$2),$C$12:$C$1011,"&lt;="&amp;$D$2+$E7*SQRT($F$2))/COUNT($C$12:$C$1011),"")</f>
        <v>0.95599999999999996</v>
      </c>
      <c r="J7" s="74"/>
    </row>
    <row r="8" spans="1:23" ht="14.4" x14ac:dyDescent="0.3">
      <c r="A8" s="56"/>
      <c r="E8" s="16">
        <v>3</v>
      </c>
      <c r="F8" s="17" t="s">
        <v>28</v>
      </c>
      <c r="G8" s="73">
        <f ca="1">IF(ISNUMBER(B14),COUNTIFS($B$12:$B$1011,"&gt;="&amp;$D$1-$E8*SQRT($F$1),$B$12:$B$1011,"&lt;="&amp;$D$1+$E8*SQRT($F$1))/COUNT($B$12:$B$1011),"")</f>
        <v>0.998</v>
      </c>
      <c r="H8" s="74"/>
      <c r="I8" s="73">
        <f ca="1">IF(ISNUMBER(C14),COUNTIFS($C$12:$C$1011,"&gt;="&amp;$D$2-$E8*SQRT($F$2),$C$12:$C$1011,"&lt;="&amp;$D$2+$E8*SQRT($F$2))/COUNT($C$12:$C$1011),"")</f>
        <v>0.998</v>
      </c>
      <c r="J8" s="74"/>
      <c r="K8" s="27"/>
      <c r="L8" s="28"/>
      <c r="M8" s="28"/>
      <c r="N8" s="29"/>
    </row>
    <row r="9" spans="1:23" ht="14.4" x14ac:dyDescent="0.3">
      <c r="A9" s="56" t="s">
        <v>36</v>
      </c>
      <c r="B9" s="32">
        <f ca="1">IF(ISNUMBER(B12),MIN(B12:B1011),"")</f>
        <v>3.0450478387491762</v>
      </c>
      <c r="C9" s="20">
        <f ca="1">IF(ISNUMBER(B12),MIN(C12:C1011),"")</f>
        <v>3.6014512268702763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6" t="s">
        <v>37</v>
      </c>
      <c r="B10" s="19">
        <f ca="1">IF(ISNUMBER(B12),MAX(B12:B1011),"")</f>
        <v>16.106792736183237</v>
      </c>
      <c r="C10" s="33">
        <f ca="1">IF(ISNUMBER(B12),MAX(C12:C1011),"")</f>
        <v>15.824436853693893</v>
      </c>
      <c r="D10" s="57" t="s">
        <v>20</v>
      </c>
    </row>
    <row r="11" spans="1:23" ht="27.6" x14ac:dyDescent="0.25">
      <c r="A11" s="68" t="s">
        <v>40</v>
      </c>
      <c r="B11" s="69" t="s">
        <v>19</v>
      </c>
      <c r="C11" s="63" t="s">
        <v>38</v>
      </c>
      <c r="D11" s="70">
        <f>IF(AND(ISNUMBER(D1),F1&gt;0),1,"")</f>
        <v>1</v>
      </c>
      <c r="E11" s="70" t="str">
        <f>IF(D11&lt;$H$1,D11+1,"")</f>
        <v/>
      </c>
      <c r="F11" s="70" t="str">
        <f>IF(E11&lt;$H$1,E11+1,"")</f>
        <v/>
      </c>
      <c r="G11" s="70" t="str">
        <f>IF(F11&lt;$H$1,F11+1,"")</f>
        <v/>
      </c>
      <c r="H11" s="70" t="str">
        <f>IF(G11&lt;$H$1,G11+1,"")</f>
        <v/>
      </c>
      <c r="I11" s="70" t="str">
        <f t="shared" ref="I11:W11" si="0">IF(H11&lt;$H$1,H11+1,"")</f>
        <v/>
      </c>
      <c r="J11" s="70" t="str">
        <f t="shared" si="0"/>
        <v/>
      </c>
      <c r="K11" s="70" t="str">
        <f t="shared" si="0"/>
        <v/>
      </c>
      <c r="L11" s="70" t="str">
        <f t="shared" si="0"/>
        <v/>
      </c>
      <c r="M11" s="70" t="str">
        <f t="shared" si="0"/>
        <v/>
      </c>
      <c r="N11" s="70" t="str">
        <f t="shared" si="0"/>
        <v/>
      </c>
      <c r="O11" s="70" t="str">
        <f t="shared" si="0"/>
        <v/>
      </c>
      <c r="P11" s="70" t="str">
        <f t="shared" si="0"/>
        <v/>
      </c>
      <c r="Q11" s="70" t="str">
        <f t="shared" si="0"/>
        <v/>
      </c>
      <c r="R11" s="70" t="str">
        <f t="shared" si="0"/>
        <v/>
      </c>
      <c r="S11" s="70" t="str">
        <f t="shared" si="0"/>
        <v/>
      </c>
      <c r="T11" s="70" t="str">
        <f t="shared" si="0"/>
        <v/>
      </c>
      <c r="U11" s="70" t="str">
        <f t="shared" si="0"/>
        <v/>
      </c>
      <c r="V11" s="70" t="str">
        <f t="shared" si="0"/>
        <v/>
      </c>
      <c r="W11" s="70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7.6909848262431826</v>
      </c>
      <c r="C12" s="20">
        <f ca="1">IF(AND($H$1&gt;=1,ISNUMBER(D12)),AVERAGE(D12:W12),"")</f>
        <v>13.854148664310561</v>
      </c>
      <c r="D12" s="21">
        <f t="shared" ref="D12:G31" ca="1" si="1">IF(AND(ISNUMBER($D$1),$F$1&gt;0,ISNUMBER(D$11),D$11&lt;=$H$1),_xlfn.NORM.INV(RAND(),$D$1,SQRT($F$1)),"")</f>
        <v>13.854148664310561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9.0983201485622143</v>
      </c>
      <c r="C13" s="20">
        <f t="shared" ref="C13:C76" ca="1" si="4">IF(AND($H$1&gt;=1,ISNUMBER(D13)),AVERAGE(D13:W13),"")</f>
        <v>10.475331612625565</v>
      </c>
      <c r="D13" s="21">
        <f t="shared" ca="1" si="1"/>
        <v>10.475331612625565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8.8208632784943095</v>
      </c>
      <c r="C14" s="20">
        <f t="shared" ca="1" si="4"/>
        <v>11.058760122659475</v>
      </c>
      <c r="D14" s="21">
        <f t="shared" ca="1" si="1"/>
        <v>11.058760122659475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9.796149298342991</v>
      </c>
      <c r="C15" s="20">
        <f t="shared" ca="1" si="4"/>
        <v>7.9710796846637528</v>
      </c>
      <c r="D15" s="21">
        <f t="shared" ca="1" si="1"/>
        <v>7.9710796846637528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10.074601545330296</v>
      </c>
      <c r="C16" s="20">
        <f t="shared" ca="1" si="4"/>
        <v>9.9957999968618498</v>
      </c>
      <c r="D16" s="21">
        <f t="shared" ca="1" si="1"/>
        <v>9.9957999968618498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10.442082379721546</v>
      </c>
      <c r="C17" s="20">
        <f t="shared" ca="1" si="4"/>
        <v>11.148398576629626</v>
      </c>
      <c r="D17" s="21">
        <f t="shared" ca="1" si="1"/>
        <v>11.148398576629626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12.111260524593224</v>
      </c>
      <c r="C18" s="20">
        <f t="shared" ca="1" si="4"/>
        <v>6.7513137615990839</v>
      </c>
      <c r="D18" s="21">
        <f t="shared" ca="1" si="1"/>
        <v>6.7513137615990839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12.810916642600809</v>
      </c>
      <c r="C19" s="20">
        <f t="shared" ca="1" si="4"/>
        <v>12.719802080186049</v>
      </c>
      <c r="D19" s="21">
        <f t="shared" ca="1" si="1"/>
        <v>12.719802080186049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11.071283207324408</v>
      </c>
      <c r="C20" s="20">
        <f t="shared" ca="1" si="4"/>
        <v>8.3172141491460092</v>
      </c>
      <c r="D20" s="21">
        <f t="shared" ca="1" si="1"/>
        <v>8.3172141491460092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8.0337626211645627</v>
      </c>
      <c r="C21" s="20">
        <f t="shared" ca="1" si="4"/>
        <v>9.0089955735508624</v>
      </c>
      <c r="D21" s="21">
        <f t="shared" ca="1" si="1"/>
        <v>9.0089955735508624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11.424221886121021</v>
      </c>
      <c r="C22" s="20">
        <f t="shared" ca="1" si="4"/>
        <v>8.0064519579269771</v>
      </c>
      <c r="D22" s="21">
        <f t="shared" ca="1" si="1"/>
        <v>8.0064519579269771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9.3512707055833886</v>
      </c>
      <c r="C23" s="20">
        <f t="shared" ca="1" si="4"/>
        <v>11.742875909382951</v>
      </c>
      <c r="D23" s="21">
        <f t="shared" ca="1" si="1"/>
        <v>11.742875909382951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8.5154097025058864</v>
      </c>
      <c r="C24" s="20">
        <f t="shared" ca="1" si="4"/>
        <v>9.3677320969218361</v>
      </c>
      <c r="D24" s="21">
        <f t="shared" ca="1" si="1"/>
        <v>9.3677320969218361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10.720312889440157</v>
      </c>
      <c r="C25" s="20">
        <f t="shared" ca="1" si="4"/>
        <v>10.414560590521905</v>
      </c>
      <c r="D25" s="21">
        <f t="shared" ca="1" si="1"/>
        <v>10.414560590521905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8.0453690279688956</v>
      </c>
      <c r="C26" s="20">
        <f t="shared" ca="1" si="4"/>
        <v>11.700426713226465</v>
      </c>
      <c r="D26" s="21">
        <f t="shared" ca="1" si="1"/>
        <v>11.700426713226465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10.10048226456642</v>
      </c>
      <c r="C27" s="20">
        <f t="shared" ca="1" si="4"/>
        <v>11.001342651408361</v>
      </c>
      <c r="D27" s="21">
        <f t="shared" ca="1" si="1"/>
        <v>11.001342651408361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7.6776641179443974</v>
      </c>
      <c r="C28" s="20">
        <f t="shared" ca="1" si="4"/>
        <v>8.0377920702508288</v>
      </c>
      <c r="D28" s="21">
        <f t="shared" ca="1" si="1"/>
        <v>8.0377920702508288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10.425138250619769</v>
      </c>
      <c r="C29" s="20">
        <f t="shared" ca="1" si="4"/>
        <v>9.7660333820223126</v>
      </c>
      <c r="D29" s="21">
        <f t="shared" ca="1" si="1"/>
        <v>9.7660333820223126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10.913161168241999</v>
      </c>
      <c r="C30" s="20">
        <f t="shared" ca="1" si="4"/>
        <v>10.268945649142584</v>
      </c>
      <c r="D30" s="21">
        <f t="shared" ca="1" si="1"/>
        <v>10.268945649142584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11.253213785667342</v>
      </c>
      <c r="C31" s="20">
        <f t="shared" ca="1" si="4"/>
        <v>10.800492814822732</v>
      </c>
      <c r="D31" s="21">
        <f t="shared" ca="1" si="1"/>
        <v>10.800492814822732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8.0643398138348026</v>
      </c>
      <c r="C32" s="20">
        <f t="shared" ca="1" si="4"/>
        <v>11.690291102862174</v>
      </c>
      <c r="D32" s="21">
        <f t="shared" ref="D32:G51" ca="1" si="6">IF(AND(ISNUMBER($D$1),$F$1&gt;0,ISNUMBER(D$11),D$11&lt;=$H$1),_xlfn.NORM.INV(RAND(),$D$1,SQRT($F$1)),"")</f>
        <v>11.690291102862174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6.4036810321674515</v>
      </c>
      <c r="C33" s="20">
        <f t="shared" ca="1" si="4"/>
        <v>9.3221615319524531</v>
      </c>
      <c r="D33" s="21">
        <f t="shared" ca="1" si="6"/>
        <v>9.3221615319524531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12.253505311230544</v>
      </c>
      <c r="C34" s="20">
        <f t="shared" ca="1" si="4"/>
        <v>11.331831896177372</v>
      </c>
      <c r="D34" s="21">
        <f t="shared" ca="1" si="6"/>
        <v>11.331831896177372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9.0786080448972317</v>
      </c>
      <c r="C35" s="20">
        <f t="shared" ca="1" si="4"/>
        <v>11.56006964232891</v>
      </c>
      <c r="D35" s="21">
        <f t="shared" ca="1" si="6"/>
        <v>11.56006964232891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8.3250105058740047</v>
      </c>
      <c r="C36" s="20">
        <f t="shared" ca="1" si="4"/>
        <v>11.101550001925466</v>
      </c>
      <c r="D36" s="21">
        <f t="shared" ca="1" si="6"/>
        <v>11.101550001925466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7.5647807820915389</v>
      </c>
      <c r="C37" s="20">
        <f t="shared" ca="1" si="4"/>
        <v>9.3560341481739666</v>
      </c>
      <c r="D37" s="21">
        <f t="shared" ca="1" si="6"/>
        <v>9.3560341481739666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10.238547906311382</v>
      </c>
      <c r="C38" s="20">
        <f t="shared" ca="1" si="4"/>
        <v>11.234469721677574</v>
      </c>
      <c r="D38" s="21">
        <f t="shared" ca="1" si="6"/>
        <v>11.234469721677574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6.8946593836322574</v>
      </c>
      <c r="C39" s="20">
        <f t="shared" ca="1" si="4"/>
        <v>7.45881314023997</v>
      </c>
      <c r="D39" s="21">
        <f t="shared" ca="1" si="6"/>
        <v>7.45881314023997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4.7075447574282405</v>
      </c>
      <c r="C40" s="20">
        <f t="shared" ca="1" si="4"/>
        <v>7.2721123457435528</v>
      </c>
      <c r="D40" s="21">
        <f t="shared" ca="1" si="6"/>
        <v>7.2721123457435528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7.9866853787639451</v>
      </c>
      <c r="C41" s="20">
        <f t="shared" ca="1" si="4"/>
        <v>9.4516598656525996</v>
      </c>
      <c r="D41" s="21">
        <f t="shared" ca="1" si="6"/>
        <v>9.4516598656525996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10.24684454556458</v>
      </c>
      <c r="C42" s="20">
        <f t="shared" ca="1" si="4"/>
        <v>8.6484331860855583</v>
      </c>
      <c r="D42" s="21">
        <f t="shared" ca="1" si="6"/>
        <v>8.6484331860855583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8.4519652530580025</v>
      </c>
      <c r="C43" s="20">
        <f t="shared" ca="1" si="4"/>
        <v>11.850036172293574</v>
      </c>
      <c r="D43" s="21">
        <f t="shared" ca="1" si="6"/>
        <v>11.850036172293574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10.946442294238308</v>
      </c>
      <c r="C44" s="20">
        <f t="shared" ca="1" si="4"/>
        <v>12.711850957895498</v>
      </c>
      <c r="D44" s="21">
        <f t="shared" ca="1" si="6"/>
        <v>12.711850957895498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9.0053619334073041</v>
      </c>
      <c r="C45" s="20">
        <f t="shared" ca="1" si="4"/>
        <v>10.961844144251959</v>
      </c>
      <c r="D45" s="21">
        <f t="shared" ca="1" si="6"/>
        <v>10.961844144251959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10.233313130931682</v>
      </c>
      <c r="C46" s="20">
        <f t="shared" ca="1" si="4"/>
        <v>12.973248296467091</v>
      </c>
      <c r="D46" s="21">
        <f t="shared" ca="1" si="6"/>
        <v>12.973248296467091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9.2731383868257193</v>
      </c>
      <c r="C47" s="20">
        <f t="shared" ca="1" si="4"/>
        <v>7.8566642572179708</v>
      </c>
      <c r="D47" s="21">
        <f t="shared" ca="1" si="6"/>
        <v>7.8566642572179708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9.4408350649500239</v>
      </c>
      <c r="C48" s="20">
        <f t="shared" ca="1" si="4"/>
        <v>8.609663631693719</v>
      </c>
      <c r="D48" s="21">
        <f t="shared" ca="1" si="6"/>
        <v>8.609663631693719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9.0492887355609373</v>
      </c>
      <c r="C49" s="20">
        <f t="shared" ca="1" si="4"/>
        <v>12.299976901534468</v>
      </c>
      <c r="D49" s="21">
        <f t="shared" ca="1" si="6"/>
        <v>12.299976901534468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9.7346640381932286</v>
      </c>
      <c r="C50" s="20">
        <f t="shared" ca="1" si="4"/>
        <v>8.3385246831320465</v>
      </c>
      <c r="D50" s="21">
        <f t="shared" ca="1" si="6"/>
        <v>8.3385246831320465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12.824653002260284</v>
      </c>
      <c r="C51" s="20">
        <f t="shared" ca="1" si="4"/>
        <v>10.4887142191391</v>
      </c>
      <c r="D51" s="21">
        <f t="shared" ca="1" si="6"/>
        <v>10.4887142191391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11.927895472310706</v>
      </c>
      <c r="C52" s="20">
        <f t="shared" ca="1" si="4"/>
        <v>9.3843912459746566</v>
      </c>
      <c r="D52" s="21">
        <f t="shared" ref="D52:G71" ca="1" si="9">IF(AND(ISNUMBER($D$1),$F$1&gt;0,ISNUMBER(D$11),D$11&lt;=$H$1),_xlfn.NORM.INV(RAND(),$D$1,SQRT($F$1)),"")</f>
        <v>9.3843912459746566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12.810406656818236</v>
      </c>
      <c r="C53" s="20">
        <f t="shared" ca="1" si="4"/>
        <v>9.4315102199510541</v>
      </c>
      <c r="D53" s="21">
        <f t="shared" ca="1" si="9"/>
        <v>9.4315102199510541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7.449139945168346</v>
      </c>
      <c r="C54" s="20">
        <f t="shared" ca="1" si="4"/>
        <v>11.842469812867838</v>
      </c>
      <c r="D54" s="21">
        <f t="shared" ca="1" si="9"/>
        <v>11.842469812867838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7.8618033335354767</v>
      </c>
      <c r="C55" s="20">
        <f t="shared" ca="1" si="4"/>
        <v>11.221679919035831</v>
      </c>
      <c r="D55" s="21">
        <f t="shared" ca="1" si="9"/>
        <v>11.221679919035831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11.813086781983566</v>
      </c>
      <c r="C56" s="20">
        <f t="shared" ca="1" si="4"/>
        <v>8.790089291320994</v>
      </c>
      <c r="D56" s="21">
        <f t="shared" ca="1" si="9"/>
        <v>8.790089291320994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9.5044177738796609</v>
      </c>
      <c r="C57" s="20">
        <f t="shared" ca="1" si="4"/>
        <v>10.335501382078979</v>
      </c>
      <c r="D57" s="21">
        <f t="shared" ca="1" si="9"/>
        <v>10.335501382078979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11.481128628966264</v>
      </c>
      <c r="C58" s="20">
        <f t="shared" ca="1" si="4"/>
        <v>8.9799680487661657</v>
      </c>
      <c r="D58" s="21">
        <f t="shared" ca="1" si="9"/>
        <v>8.9799680487661657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13.918007680833218</v>
      </c>
      <c r="C59" s="20">
        <f t="shared" ca="1" si="4"/>
        <v>10.935934428234203</v>
      </c>
      <c r="D59" s="21">
        <f t="shared" ca="1" si="9"/>
        <v>10.935934428234203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8.0512316472358307</v>
      </c>
      <c r="C60" s="20">
        <f t="shared" ca="1" si="4"/>
        <v>9.8515168010843528</v>
      </c>
      <c r="D60" s="21">
        <f t="shared" ca="1" si="9"/>
        <v>9.8515168010843528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9.164209489430327</v>
      </c>
      <c r="C61" s="20">
        <f t="shared" ca="1" si="4"/>
        <v>13.682687222586905</v>
      </c>
      <c r="D61" s="21">
        <f t="shared" ca="1" si="9"/>
        <v>13.682687222586905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8.9784375205684253</v>
      </c>
      <c r="C62" s="20">
        <f t="shared" ca="1" si="4"/>
        <v>7.8268144273074975</v>
      </c>
      <c r="D62" s="21">
        <f t="shared" ca="1" si="9"/>
        <v>7.8268144273074975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10.160156110920692</v>
      </c>
      <c r="C63" s="20">
        <f t="shared" ca="1" si="4"/>
        <v>9.8782570406516363</v>
      </c>
      <c r="D63" s="21">
        <f t="shared" ca="1" si="9"/>
        <v>9.8782570406516363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10.929367992421374</v>
      </c>
      <c r="C64" s="20">
        <f t="shared" ca="1" si="4"/>
        <v>8.439822975172353</v>
      </c>
      <c r="D64" s="21">
        <f t="shared" ca="1" si="9"/>
        <v>8.439822975172353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12.354220122754496</v>
      </c>
      <c r="C65" s="20">
        <f t="shared" ca="1" si="4"/>
        <v>9.8554290809706693</v>
      </c>
      <c r="D65" s="21">
        <f t="shared" ca="1" si="9"/>
        <v>9.8554290809706693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13.252717713486959</v>
      </c>
      <c r="C66" s="20">
        <f t="shared" ca="1" si="4"/>
        <v>8.1021233494240299</v>
      </c>
      <c r="D66" s="21">
        <f t="shared" ca="1" si="9"/>
        <v>8.1021233494240299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9.2844616379798932</v>
      </c>
      <c r="C67" s="20">
        <f t="shared" ca="1" si="4"/>
        <v>10.108597582300369</v>
      </c>
      <c r="D67" s="21">
        <f t="shared" ca="1" si="9"/>
        <v>10.108597582300369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9.1224982476637333</v>
      </c>
      <c r="C68" s="20">
        <f t="shared" ca="1" si="4"/>
        <v>10.584771756707424</v>
      </c>
      <c r="D68" s="21">
        <f t="shared" ca="1" si="9"/>
        <v>10.584771756707424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9.5103115903497759</v>
      </c>
      <c r="C69" s="20">
        <f t="shared" ca="1" si="4"/>
        <v>8.9498066913700924</v>
      </c>
      <c r="D69" s="21">
        <f t="shared" ca="1" si="9"/>
        <v>8.9498066913700924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10.260745944795369</v>
      </c>
      <c r="C70" s="20">
        <f t="shared" ca="1" si="4"/>
        <v>14.83958540645537</v>
      </c>
      <c r="D70" s="21">
        <f t="shared" ca="1" si="9"/>
        <v>14.83958540645537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10.071132375053848</v>
      </c>
      <c r="C71" s="20">
        <f t="shared" ca="1" si="4"/>
        <v>12.482914691846087</v>
      </c>
      <c r="D71" s="21">
        <f t="shared" ca="1" si="9"/>
        <v>12.482914691846087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10.342026353608277</v>
      </c>
      <c r="C72" s="20">
        <f t="shared" ca="1" si="4"/>
        <v>9.3291183315270612</v>
      </c>
      <c r="D72" s="21">
        <f t="shared" ref="D72:G91" ca="1" si="12">IF(AND(ISNUMBER($D$1),$F$1&gt;0,ISNUMBER(D$11),D$11&lt;=$H$1),_xlfn.NORM.INV(RAND(),$D$1,SQRT($F$1)),"")</f>
        <v>9.3291183315270612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10.665066940850954</v>
      </c>
      <c r="C73" s="20">
        <f t="shared" ca="1" si="4"/>
        <v>8.0346633104538885</v>
      </c>
      <c r="D73" s="21">
        <f t="shared" ca="1" si="12"/>
        <v>8.0346633104538885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7.6683559659389262</v>
      </c>
      <c r="C74" s="20">
        <f t="shared" ca="1" si="4"/>
        <v>10.766030492662974</v>
      </c>
      <c r="D74" s="21">
        <f t="shared" ca="1" si="12"/>
        <v>10.766030492662974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7.2895434498163088</v>
      </c>
      <c r="C75" s="20">
        <f t="shared" ca="1" si="4"/>
        <v>10.088330052486294</v>
      </c>
      <c r="D75" s="21">
        <f t="shared" ca="1" si="12"/>
        <v>10.088330052486294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9.7243296850457863</v>
      </c>
      <c r="C76" s="20">
        <f t="shared" ca="1" si="4"/>
        <v>11.569399762474331</v>
      </c>
      <c r="D76" s="21">
        <f t="shared" ca="1" si="12"/>
        <v>11.569399762474331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10.071461309344629</v>
      </c>
      <c r="C77" s="20">
        <f t="shared" ref="C77:C140" ca="1" si="15">IF(AND($H$1&gt;=1,ISNUMBER(D77)),AVERAGE(D77:W77),"")</f>
        <v>9.2550716015642323</v>
      </c>
      <c r="D77" s="21">
        <f t="shared" ca="1" si="12"/>
        <v>9.2550716015642323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10.842646401295005</v>
      </c>
      <c r="C78" s="20">
        <f t="shared" ca="1" si="15"/>
        <v>9.6770066487302078</v>
      </c>
      <c r="D78" s="21">
        <f t="shared" ca="1" si="12"/>
        <v>9.6770066487302078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11.338182913765463</v>
      </c>
      <c r="C79" s="20">
        <f t="shared" ca="1" si="15"/>
        <v>8.8439434550512956</v>
      </c>
      <c r="D79" s="21">
        <f t="shared" ca="1" si="12"/>
        <v>8.8439434550512956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9.4306205375074494</v>
      </c>
      <c r="C80" s="20">
        <f t="shared" ca="1" si="15"/>
        <v>15.686729810150407</v>
      </c>
      <c r="D80" s="21">
        <f t="shared" ca="1" si="12"/>
        <v>15.686729810150407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8.090154131160352</v>
      </c>
      <c r="C81" s="20">
        <f t="shared" ca="1" si="15"/>
        <v>11.001999669775898</v>
      </c>
      <c r="D81" s="21">
        <f t="shared" ca="1" si="12"/>
        <v>11.001999669775898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12.347484248346944</v>
      </c>
      <c r="C82" s="20">
        <f t="shared" ca="1" si="15"/>
        <v>8.7271263245840149</v>
      </c>
      <c r="D82" s="21">
        <f t="shared" ca="1" si="12"/>
        <v>8.7271263245840149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11.356711301975745</v>
      </c>
      <c r="C83" s="20">
        <f t="shared" ca="1" si="15"/>
        <v>6.8250182723806372</v>
      </c>
      <c r="D83" s="21">
        <f t="shared" ca="1" si="12"/>
        <v>6.8250182723806372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9.3337226574550094</v>
      </c>
      <c r="C84" s="20">
        <f t="shared" ca="1" si="15"/>
        <v>12.054381819911894</v>
      </c>
      <c r="D84" s="21">
        <f t="shared" ca="1" si="12"/>
        <v>12.054381819911894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12.484537905153854</v>
      </c>
      <c r="C85" s="20">
        <f t="shared" ca="1" si="15"/>
        <v>9.1980981269451583</v>
      </c>
      <c r="D85" s="21">
        <f t="shared" ca="1" si="12"/>
        <v>9.1980981269451583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10.7449276865866</v>
      </c>
      <c r="C86" s="20">
        <f t="shared" ca="1" si="15"/>
        <v>13.121910975605246</v>
      </c>
      <c r="D86" s="21">
        <f t="shared" ca="1" si="12"/>
        <v>13.121910975605246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4.4666689219686697</v>
      </c>
      <c r="C87" s="20">
        <f t="shared" ca="1" si="15"/>
        <v>11.172685465710989</v>
      </c>
      <c r="D87" s="21">
        <f t="shared" ca="1" si="12"/>
        <v>11.172685465710989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8.9804519894560553</v>
      </c>
      <c r="C88" s="20">
        <f t="shared" ca="1" si="15"/>
        <v>9.0588394438172628</v>
      </c>
      <c r="D88" s="21">
        <f t="shared" ca="1" si="12"/>
        <v>9.0588394438172628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7.9681427750528293</v>
      </c>
      <c r="C89" s="20">
        <f t="shared" ca="1" si="15"/>
        <v>11.621452329978615</v>
      </c>
      <c r="D89" s="21">
        <f t="shared" ca="1" si="12"/>
        <v>11.621452329978615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11.663392120246755</v>
      </c>
      <c r="C90" s="20">
        <f t="shared" ca="1" si="15"/>
        <v>15.65480223641077</v>
      </c>
      <c r="D90" s="21">
        <f t="shared" ca="1" si="12"/>
        <v>15.65480223641077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9.5658748554941919</v>
      </c>
      <c r="C91" s="20">
        <f t="shared" ca="1" si="15"/>
        <v>8.4624004397098975</v>
      </c>
      <c r="D91" s="21">
        <f t="shared" ca="1" si="12"/>
        <v>8.4624004397098975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12.75047674111102</v>
      </c>
      <c r="C92" s="20">
        <f t="shared" ca="1" si="15"/>
        <v>8.6262551758613721</v>
      </c>
      <c r="D92" s="21">
        <f t="shared" ref="D92:G111" ca="1" si="17">IF(AND(ISNUMBER($D$1),$F$1&gt;0,ISNUMBER(D$11),D$11&lt;=$H$1),_xlfn.NORM.INV(RAND(),$D$1,SQRT($F$1)),"")</f>
        <v>8.6262551758613721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6.4981581341166361</v>
      </c>
      <c r="C93" s="20">
        <f t="shared" ca="1" si="15"/>
        <v>10.788158237998545</v>
      </c>
      <c r="D93" s="21">
        <f t="shared" ca="1" si="17"/>
        <v>10.788158237998545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7.4959027898670882</v>
      </c>
      <c r="C94" s="20">
        <f t="shared" ca="1" si="15"/>
        <v>10.363768458934675</v>
      </c>
      <c r="D94" s="21">
        <f t="shared" ca="1" si="17"/>
        <v>10.363768458934675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12.760934404671637</v>
      </c>
      <c r="C95" s="20">
        <f t="shared" ca="1" si="15"/>
        <v>12.744891227025573</v>
      </c>
      <c r="D95" s="21">
        <f t="shared" ca="1" si="17"/>
        <v>12.744891227025573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10.673971914024909</v>
      </c>
      <c r="C96" s="20">
        <f t="shared" ca="1" si="15"/>
        <v>11.275757719991837</v>
      </c>
      <c r="D96" s="21">
        <f t="shared" ca="1" si="17"/>
        <v>11.275757719991837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9.5787643832884033</v>
      </c>
      <c r="C97" s="20">
        <f t="shared" ca="1" si="15"/>
        <v>10.209027270430012</v>
      </c>
      <c r="D97" s="21">
        <f t="shared" ca="1" si="17"/>
        <v>10.209027270430012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10.912993716262349</v>
      </c>
      <c r="C98" s="20">
        <f t="shared" ca="1" si="15"/>
        <v>8.7934062000343332</v>
      </c>
      <c r="D98" s="21">
        <f t="shared" ca="1" si="17"/>
        <v>8.7934062000343332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12.419684986692747</v>
      </c>
      <c r="C99" s="20">
        <f t="shared" ca="1" si="15"/>
        <v>14.005427412428851</v>
      </c>
      <c r="D99" s="21">
        <f t="shared" ca="1" si="17"/>
        <v>14.005427412428851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7.2604796990848595</v>
      </c>
      <c r="C100" s="20">
        <f t="shared" ca="1" si="15"/>
        <v>8.536659437910247</v>
      </c>
      <c r="D100" s="21">
        <f t="shared" ca="1" si="17"/>
        <v>8.536659437910247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6.2055472509263243</v>
      </c>
      <c r="C101" s="20">
        <f t="shared" ca="1" si="15"/>
        <v>8.1286187466557749</v>
      </c>
      <c r="D101" s="21">
        <f t="shared" ca="1" si="17"/>
        <v>8.1286187466557749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10.099580276859333</v>
      </c>
      <c r="C102" s="20">
        <f t="shared" ca="1" si="15"/>
        <v>6.9347391092023916</v>
      </c>
      <c r="D102" s="21">
        <f t="shared" ca="1" si="17"/>
        <v>6.9347391092023916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10.724000913854528</v>
      </c>
      <c r="C103" s="20">
        <f t="shared" ca="1" si="15"/>
        <v>5.6966528071009597</v>
      </c>
      <c r="D103" s="21">
        <f t="shared" ca="1" si="17"/>
        <v>5.6966528071009597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9.5707497983845613</v>
      </c>
      <c r="C104" s="20">
        <f t="shared" ca="1" si="15"/>
        <v>11.306674348045529</v>
      </c>
      <c r="D104" s="21">
        <f t="shared" ca="1" si="17"/>
        <v>11.306674348045529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9.4724046055480819</v>
      </c>
      <c r="C105" s="20">
        <f t="shared" ca="1" si="15"/>
        <v>8.7563277830767046</v>
      </c>
      <c r="D105" s="21">
        <f t="shared" ca="1" si="17"/>
        <v>8.7563277830767046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12.734127742485727</v>
      </c>
      <c r="C106" s="20">
        <f t="shared" ca="1" si="15"/>
        <v>8.2336297224882511</v>
      </c>
      <c r="D106" s="21">
        <f t="shared" ca="1" si="17"/>
        <v>8.2336297224882511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9.0536247451933143</v>
      </c>
      <c r="C107" s="20">
        <f t="shared" ca="1" si="15"/>
        <v>8.0325524719413277</v>
      </c>
      <c r="D107" s="21">
        <f t="shared" ca="1" si="17"/>
        <v>8.0325524719413277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10.724148025262297</v>
      </c>
      <c r="C108" s="20">
        <f t="shared" ca="1" si="15"/>
        <v>9.0579760757335936</v>
      </c>
      <c r="D108" s="21">
        <f t="shared" ca="1" si="17"/>
        <v>9.0579760757335936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9.0576936136044992</v>
      </c>
      <c r="C109" s="20">
        <f t="shared" ca="1" si="15"/>
        <v>10.411555834270494</v>
      </c>
      <c r="D109" s="21">
        <f t="shared" ca="1" si="17"/>
        <v>10.411555834270494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9.6268612683887795</v>
      </c>
      <c r="C110" s="20">
        <f t="shared" ca="1" si="15"/>
        <v>7.859351821001141</v>
      </c>
      <c r="D110" s="21">
        <f t="shared" ca="1" si="17"/>
        <v>7.859351821001141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13.287703055880236</v>
      </c>
      <c r="C111" s="20">
        <f t="shared" ca="1" si="15"/>
        <v>11.925797968685805</v>
      </c>
      <c r="D111" s="21">
        <f t="shared" ca="1" si="17"/>
        <v>11.925797968685805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9.4078323485936401</v>
      </c>
      <c r="C112" s="20">
        <f t="shared" ca="1" si="15"/>
        <v>10.981444442701767</v>
      </c>
      <c r="D112" s="21">
        <f t="shared" ref="D112:G131" ca="1" si="20">IF(AND(ISNUMBER($D$1),$F$1&gt;0,ISNUMBER(D$11),D$11&lt;=$H$1),_xlfn.NORM.INV(RAND(),$D$1,SQRT($F$1)),"")</f>
        <v>10.981444442701767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7.8918213388628384</v>
      </c>
      <c r="C113" s="20">
        <f t="shared" ca="1" si="15"/>
        <v>12.240915513596526</v>
      </c>
      <c r="D113" s="21">
        <f t="shared" ca="1" si="20"/>
        <v>12.240915513596526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10.898263331325358</v>
      </c>
      <c r="C114" s="20">
        <f t="shared" ca="1" si="15"/>
        <v>11.065222560474904</v>
      </c>
      <c r="D114" s="21">
        <f t="shared" ca="1" si="20"/>
        <v>11.065222560474904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4.918155371984346</v>
      </c>
      <c r="C115" s="20">
        <f t="shared" ca="1" si="15"/>
        <v>9.5217882620920999</v>
      </c>
      <c r="D115" s="21">
        <f t="shared" ca="1" si="20"/>
        <v>9.5217882620920999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10.34465416323887</v>
      </c>
      <c r="C116" s="20">
        <f t="shared" ca="1" si="15"/>
        <v>11.205381939706507</v>
      </c>
      <c r="D116" s="21">
        <f t="shared" ca="1" si="20"/>
        <v>11.205381939706507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11.352920213052895</v>
      </c>
      <c r="C117" s="20">
        <f t="shared" ca="1" si="15"/>
        <v>11.052136029834887</v>
      </c>
      <c r="D117" s="21">
        <f t="shared" ca="1" si="20"/>
        <v>11.052136029834887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11.35580733210325</v>
      </c>
      <c r="C118" s="20">
        <f t="shared" ca="1" si="15"/>
        <v>11.764471464291058</v>
      </c>
      <c r="D118" s="21">
        <f t="shared" ca="1" si="20"/>
        <v>11.764471464291058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10.576610141482703</v>
      </c>
      <c r="C119" s="20">
        <f t="shared" ca="1" si="15"/>
        <v>5.4909065760028888</v>
      </c>
      <c r="D119" s="21">
        <f t="shared" ca="1" si="20"/>
        <v>5.4909065760028888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9.0758112141145286</v>
      </c>
      <c r="C120" s="20">
        <f t="shared" ca="1" si="15"/>
        <v>8.2971467801365808</v>
      </c>
      <c r="D120" s="21">
        <f t="shared" ca="1" si="20"/>
        <v>8.2971467801365808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9.4046151109401688</v>
      </c>
      <c r="C121" s="20">
        <f t="shared" ca="1" si="15"/>
        <v>8.5269081353825911</v>
      </c>
      <c r="D121" s="21">
        <f t="shared" ca="1" si="20"/>
        <v>8.5269081353825911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9.7032256304079727</v>
      </c>
      <c r="C122" s="20">
        <f t="shared" ca="1" si="15"/>
        <v>10.746069315049954</v>
      </c>
      <c r="D122" s="21">
        <f t="shared" ca="1" si="20"/>
        <v>10.746069315049954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10.841754548655986</v>
      </c>
      <c r="C123" s="20">
        <f t="shared" ca="1" si="15"/>
        <v>13.25951854278593</v>
      </c>
      <c r="D123" s="21">
        <f t="shared" ca="1" si="20"/>
        <v>13.25951854278593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9.2971488918307141</v>
      </c>
      <c r="C124" s="20">
        <f t="shared" ca="1" si="15"/>
        <v>8.1569438815313813</v>
      </c>
      <c r="D124" s="21">
        <f t="shared" ca="1" si="20"/>
        <v>8.1569438815313813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11.392280578803204</v>
      </c>
      <c r="C125" s="20">
        <f t="shared" ca="1" si="15"/>
        <v>9.434475055072582</v>
      </c>
      <c r="D125" s="21">
        <f t="shared" ca="1" si="20"/>
        <v>9.434475055072582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8.7994807166053537</v>
      </c>
      <c r="C126" s="20">
        <f t="shared" ca="1" si="15"/>
        <v>9.4930011117610107</v>
      </c>
      <c r="D126" s="21">
        <f t="shared" ca="1" si="20"/>
        <v>9.4930011117610107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11.392798798794585</v>
      </c>
      <c r="C127" s="20">
        <f t="shared" ca="1" si="15"/>
        <v>9.9206484314817462</v>
      </c>
      <c r="D127" s="21">
        <f t="shared" ca="1" si="20"/>
        <v>9.9206484314817462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12.069852660981944</v>
      </c>
      <c r="C128" s="20">
        <f t="shared" ca="1" si="15"/>
        <v>9.7438581469597523</v>
      </c>
      <c r="D128" s="21">
        <f t="shared" ca="1" si="20"/>
        <v>9.7438581469597523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13.469958526911414</v>
      </c>
      <c r="C129" s="20">
        <f t="shared" ca="1" si="15"/>
        <v>10.145406314782036</v>
      </c>
      <c r="D129" s="21">
        <f t="shared" ca="1" si="20"/>
        <v>10.145406314782036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9.6824872746926651</v>
      </c>
      <c r="C130" s="20">
        <f t="shared" ca="1" si="15"/>
        <v>7.8925525317532124</v>
      </c>
      <c r="D130" s="21">
        <f t="shared" ca="1" si="20"/>
        <v>7.8925525317532124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12.755502632728213</v>
      </c>
      <c r="C131" s="20">
        <f t="shared" ca="1" si="15"/>
        <v>7.3046997163191438</v>
      </c>
      <c r="D131" s="21">
        <f t="shared" ca="1" si="20"/>
        <v>7.3046997163191438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10.283396281348823</v>
      </c>
      <c r="C132" s="20">
        <f t="shared" ca="1" si="15"/>
        <v>13.671386879780567</v>
      </c>
      <c r="D132" s="21">
        <f t="shared" ref="D132:G151" ca="1" si="23">IF(AND(ISNUMBER($D$1),$F$1&gt;0,ISNUMBER(D$11),D$11&lt;=$H$1),_xlfn.NORM.INV(RAND(),$D$1,SQRT($F$1)),"")</f>
        <v>13.671386879780567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10.87415693639038</v>
      </c>
      <c r="C133" s="20">
        <f t="shared" ca="1" si="15"/>
        <v>9.4136003659210115</v>
      </c>
      <c r="D133" s="21">
        <f t="shared" ca="1" si="23"/>
        <v>9.4136003659210115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9.259345570239649</v>
      </c>
      <c r="C134" s="20">
        <f t="shared" ca="1" si="15"/>
        <v>14.048997681119408</v>
      </c>
      <c r="D134" s="21">
        <f t="shared" ca="1" si="23"/>
        <v>14.048997681119408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11.083963068249545</v>
      </c>
      <c r="C135" s="20">
        <f t="shared" ca="1" si="15"/>
        <v>9.4094717415532738</v>
      </c>
      <c r="D135" s="21">
        <f t="shared" ca="1" si="23"/>
        <v>9.4094717415532738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10.655896783519555</v>
      </c>
      <c r="C136" s="20">
        <f t="shared" ca="1" si="15"/>
        <v>9.5930934780696759</v>
      </c>
      <c r="D136" s="21">
        <f t="shared" ca="1" si="23"/>
        <v>9.5930934780696759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13.883612977592069</v>
      </c>
      <c r="C137" s="20">
        <f t="shared" ca="1" si="15"/>
        <v>13.288650012113214</v>
      </c>
      <c r="D137" s="21">
        <f t="shared" ca="1" si="23"/>
        <v>13.288650012113214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8.8526457138268171</v>
      </c>
      <c r="C138" s="20">
        <f t="shared" ca="1" si="15"/>
        <v>7.4479862053608201</v>
      </c>
      <c r="D138" s="21">
        <f t="shared" ca="1" si="23"/>
        <v>7.4479862053608201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8.866880750969159</v>
      </c>
      <c r="C139" s="20">
        <f t="shared" ca="1" si="15"/>
        <v>12.302802995218897</v>
      </c>
      <c r="D139" s="21">
        <f t="shared" ca="1" si="23"/>
        <v>12.302802995218897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6.6327259002085075</v>
      </c>
      <c r="C140" s="20">
        <f t="shared" ca="1" si="15"/>
        <v>8.0765728623013526</v>
      </c>
      <c r="D140" s="21">
        <f t="shared" ca="1" si="23"/>
        <v>8.0765728623013526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9.9549198652894528</v>
      </c>
      <c r="C141" s="20">
        <f t="shared" ref="C141:C204" ca="1" si="26">IF(AND($H$1&gt;=1,ISNUMBER(D141)),AVERAGE(D141:W141),"")</f>
        <v>8.6754864622566927</v>
      </c>
      <c r="D141" s="21">
        <f t="shared" ca="1" si="23"/>
        <v>8.6754864622566927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10.154833100252135</v>
      </c>
      <c r="C142" s="20">
        <f t="shared" ca="1" si="26"/>
        <v>11.372127053570861</v>
      </c>
      <c r="D142" s="21">
        <f t="shared" ca="1" si="23"/>
        <v>11.372127053570861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12.444929167442167</v>
      </c>
      <c r="C143" s="20">
        <f t="shared" ca="1" si="26"/>
        <v>11.382394084470389</v>
      </c>
      <c r="D143" s="21">
        <f t="shared" ca="1" si="23"/>
        <v>11.382394084470389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12.268823758806343</v>
      </c>
      <c r="C144" s="20">
        <f t="shared" ca="1" si="26"/>
        <v>9.0898151555150797</v>
      </c>
      <c r="D144" s="21">
        <f t="shared" ca="1" si="23"/>
        <v>9.0898151555150797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9.6911764207419289</v>
      </c>
      <c r="C145" s="20">
        <f t="shared" ca="1" si="26"/>
        <v>13.096163259901131</v>
      </c>
      <c r="D145" s="21">
        <f t="shared" ca="1" si="23"/>
        <v>13.096163259901131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10.16205049716144</v>
      </c>
      <c r="C146" s="20">
        <f t="shared" ca="1" si="26"/>
        <v>12.353669810307821</v>
      </c>
      <c r="D146" s="21">
        <f t="shared" ca="1" si="23"/>
        <v>12.353669810307821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8.1830127838530036</v>
      </c>
      <c r="C147" s="20">
        <f t="shared" ca="1" si="26"/>
        <v>9.9865585240929491</v>
      </c>
      <c r="D147" s="21">
        <f t="shared" ca="1" si="23"/>
        <v>9.9865585240929491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14.012636400081764</v>
      </c>
      <c r="C148" s="20">
        <f t="shared" ca="1" si="26"/>
        <v>8.4897914520291806</v>
      </c>
      <c r="D148" s="21">
        <f t="shared" ca="1" si="23"/>
        <v>8.4897914520291806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11.101688735878993</v>
      </c>
      <c r="C149" s="20">
        <f t="shared" ca="1" si="26"/>
        <v>9.1730805746616131</v>
      </c>
      <c r="D149" s="21">
        <f t="shared" ca="1" si="23"/>
        <v>9.1730805746616131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8.5239657510942344</v>
      </c>
      <c r="C150" s="20">
        <f t="shared" ca="1" si="26"/>
        <v>8.9888237282121928</v>
      </c>
      <c r="D150" s="21">
        <f t="shared" ca="1" si="23"/>
        <v>8.9888237282121928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6.1488153576936888</v>
      </c>
      <c r="C151" s="20">
        <f t="shared" ca="1" si="26"/>
        <v>8.8534287192813306</v>
      </c>
      <c r="D151" s="21">
        <f t="shared" ca="1" si="23"/>
        <v>8.8534287192813306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13.137580454660478</v>
      </c>
      <c r="C152" s="20">
        <f t="shared" ca="1" si="26"/>
        <v>7.9040335612426595</v>
      </c>
      <c r="D152" s="21">
        <f t="shared" ref="D152:G171" ca="1" si="28">IF(AND(ISNUMBER($D$1),$F$1&gt;0,ISNUMBER(D$11),D$11&lt;=$H$1),_xlfn.NORM.INV(RAND(),$D$1,SQRT($F$1)),"")</f>
        <v>7.9040335612426595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7.9230589670876768</v>
      </c>
      <c r="C153" s="20">
        <f t="shared" ca="1" si="26"/>
        <v>7.5358663213376538</v>
      </c>
      <c r="D153" s="21">
        <f t="shared" ca="1" si="28"/>
        <v>7.5358663213376538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10.012525160685067</v>
      </c>
      <c r="C154" s="20">
        <f t="shared" ca="1" si="26"/>
        <v>11.911523949196518</v>
      </c>
      <c r="D154" s="21">
        <f t="shared" ca="1" si="28"/>
        <v>11.911523949196518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11.956071968306338</v>
      </c>
      <c r="C155" s="20">
        <f t="shared" ca="1" si="26"/>
        <v>10.886911357561262</v>
      </c>
      <c r="D155" s="21">
        <f t="shared" ca="1" si="28"/>
        <v>10.886911357561262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6.4444727633179308</v>
      </c>
      <c r="C156" s="20">
        <f t="shared" ca="1" si="26"/>
        <v>9.0093798318641891</v>
      </c>
      <c r="D156" s="21">
        <f t="shared" ca="1" si="28"/>
        <v>9.0093798318641891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7.6442671010616392</v>
      </c>
      <c r="C157" s="20">
        <f t="shared" ca="1" si="26"/>
        <v>13.571939579814309</v>
      </c>
      <c r="D157" s="21">
        <f t="shared" ca="1" si="28"/>
        <v>13.571939579814309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6.4002479920914137</v>
      </c>
      <c r="C158" s="20">
        <f t="shared" ca="1" si="26"/>
        <v>13.139886111987488</v>
      </c>
      <c r="D158" s="21">
        <f t="shared" ca="1" si="28"/>
        <v>13.139886111987488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9.7381155745985968</v>
      </c>
      <c r="C159" s="20">
        <f t="shared" ca="1" si="26"/>
        <v>10.232815558005779</v>
      </c>
      <c r="D159" s="21">
        <f t="shared" ca="1" si="28"/>
        <v>10.232815558005779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7.2851740530910813</v>
      </c>
      <c r="C160" s="20">
        <f t="shared" ca="1" si="26"/>
        <v>12.333229279314144</v>
      </c>
      <c r="D160" s="21">
        <f t="shared" ca="1" si="28"/>
        <v>12.333229279314144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11.585303355110048</v>
      </c>
      <c r="C161" s="20">
        <f t="shared" ca="1" si="26"/>
        <v>8.3029201008112636</v>
      </c>
      <c r="D161" s="21">
        <f t="shared" ca="1" si="28"/>
        <v>8.3029201008112636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9.3773417502202889</v>
      </c>
      <c r="C162" s="20">
        <f t="shared" ca="1" si="26"/>
        <v>9.8103659703992463</v>
      </c>
      <c r="D162" s="21">
        <f t="shared" ca="1" si="28"/>
        <v>9.8103659703992463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11.962900666276777</v>
      </c>
      <c r="C163" s="20">
        <f t="shared" ca="1" si="26"/>
        <v>8.8662024441355065</v>
      </c>
      <c r="D163" s="21">
        <f t="shared" ca="1" si="28"/>
        <v>8.8662024441355065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11.052334783399296</v>
      </c>
      <c r="C164" s="20">
        <f t="shared" ca="1" si="26"/>
        <v>12.606394266363967</v>
      </c>
      <c r="D164" s="21">
        <f t="shared" ca="1" si="28"/>
        <v>12.606394266363967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8.3141769487439685</v>
      </c>
      <c r="C165" s="20">
        <f t="shared" ca="1" si="26"/>
        <v>11.310631685712291</v>
      </c>
      <c r="D165" s="21">
        <f t="shared" ca="1" si="28"/>
        <v>11.310631685712291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11.247812050650948</v>
      </c>
      <c r="C166" s="20">
        <f t="shared" ca="1" si="26"/>
        <v>11.372589787688527</v>
      </c>
      <c r="D166" s="21">
        <f t="shared" ca="1" si="28"/>
        <v>11.372589787688527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7.8075269972226531</v>
      </c>
      <c r="C167" s="20">
        <f t="shared" ca="1" si="26"/>
        <v>10.561077409959967</v>
      </c>
      <c r="D167" s="21">
        <f t="shared" ca="1" si="28"/>
        <v>10.561077409959967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9.2664263478493112</v>
      </c>
      <c r="C168" s="20">
        <f t="shared" ca="1" si="26"/>
        <v>7.5104437770485086</v>
      </c>
      <c r="D168" s="21">
        <f t="shared" ca="1" si="28"/>
        <v>7.5104437770485086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7.0848725970094169</v>
      </c>
      <c r="C169" s="20">
        <f t="shared" ca="1" si="26"/>
        <v>9.542812651304823</v>
      </c>
      <c r="D169" s="21">
        <f t="shared" ca="1" si="28"/>
        <v>9.542812651304823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11.127963120831362</v>
      </c>
      <c r="C170" s="20">
        <f t="shared" ca="1" si="26"/>
        <v>10.726749409244317</v>
      </c>
      <c r="D170" s="21">
        <f t="shared" ca="1" si="28"/>
        <v>10.726749409244317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8.9584515168243044</v>
      </c>
      <c r="C171" s="20">
        <f t="shared" ca="1" si="26"/>
        <v>14.458430635191529</v>
      </c>
      <c r="D171" s="21">
        <f t="shared" ca="1" si="28"/>
        <v>14.458430635191529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6.5606100639852603</v>
      </c>
      <c r="C172" s="20">
        <f t="shared" ca="1" si="26"/>
        <v>7.241083297850313</v>
      </c>
      <c r="D172" s="21">
        <f t="shared" ref="D172:G191" ca="1" si="31">IF(AND(ISNUMBER($D$1),$F$1&gt;0,ISNUMBER(D$11),D$11&lt;=$H$1),_xlfn.NORM.INV(RAND(),$D$1,SQRT($F$1)),"")</f>
        <v>7.241083297850313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9.9053854777524446</v>
      </c>
      <c r="C173" s="20">
        <f t="shared" ca="1" si="26"/>
        <v>10.801762924232225</v>
      </c>
      <c r="D173" s="21">
        <f t="shared" ca="1" si="31"/>
        <v>10.801762924232225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13.108288802443326</v>
      </c>
      <c r="C174" s="20">
        <f t="shared" ca="1" si="26"/>
        <v>8.324317969068872</v>
      </c>
      <c r="D174" s="21">
        <f t="shared" ca="1" si="31"/>
        <v>8.324317969068872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6.6353138440138881</v>
      </c>
      <c r="C175" s="20">
        <f t="shared" ca="1" si="26"/>
        <v>9.6457548877100141</v>
      </c>
      <c r="D175" s="21">
        <f t="shared" ca="1" si="31"/>
        <v>9.6457548877100141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9.4487031108608406</v>
      </c>
      <c r="C176" s="20">
        <f t="shared" ca="1" si="26"/>
        <v>6.9788841871424623</v>
      </c>
      <c r="D176" s="21">
        <f t="shared" ca="1" si="31"/>
        <v>6.9788841871424623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9.800091689114252</v>
      </c>
      <c r="C177" s="20">
        <f t="shared" ca="1" si="26"/>
        <v>8.9830122795359326</v>
      </c>
      <c r="D177" s="21">
        <f t="shared" ca="1" si="31"/>
        <v>8.9830122795359326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11.47985012883634</v>
      </c>
      <c r="C178" s="20">
        <f t="shared" ca="1" si="26"/>
        <v>10.17708634207402</v>
      </c>
      <c r="D178" s="21">
        <f t="shared" ca="1" si="31"/>
        <v>10.17708634207402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11.173223427470983</v>
      </c>
      <c r="C179" s="20">
        <f t="shared" ca="1" si="26"/>
        <v>8.9887078563468954</v>
      </c>
      <c r="D179" s="21">
        <f t="shared" ca="1" si="31"/>
        <v>8.9887078563468954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11.64284437952727</v>
      </c>
      <c r="C180" s="20">
        <f t="shared" ca="1" si="26"/>
        <v>9.9364372680466744</v>
      </c>
      <c r="D180" s="21">
        <f t="shared" ca="1" si="31"/>
        <v>9.9364372680466744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10.25415037934656</v>
      </c>
      <c r="C181" s="20">
        <f t="shared" ca="1" si="26"/>
        <v>12.683930764084995</v>
      </c>
      <c r="D181" s="21">
        <f t="shared" ca="1" si="31"/>
        <v>12.683930764084995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7.0270266176871337</v>
      </c>
      <c r="C182" s="20">
        <f t="shared" ca="1" si="26"/>
        <v>13.775246887800343</v>
      </c>
      <c r="D182" s="21">
        <f t="shared" ca="1" si="31"/>
        <v>13.775246887800343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10.38943138395884</v>
      </c>
      <c r="C183" s="20">
        <f t="shared" ca="1" si="26"/>
        <v>9.4659219728800537</v>
      </c>
      <c r="D183" s="21">
        <f t="shared" ca="1" si="31"/>
        <v>9.4659219728800537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6.6055799672398612</v>
      </c>
      <c r="C184" s="20">
        <f t="shared" ca="1" si="26"/>
        <v>9.6899326491166757</v>
      </c>
      <c r="D184" s="21">
        <f t="shared" ca="1" si="31"/>
        <v>9.6899326491166757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9.5152316777510695</v>
      </c>
      <c r="C185" s="20">
        <f t="shared" ca="1" si="26"/>
        <v>12.734115057243462</v>
      </c>
      <c r="D185" s="21">
        <f t="shared" ca="1" si="31"/>
        <v>12.734115057243462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8.4859501929494794</v>
      </c>
      <c r="C186" s="20">
        <f t="shared" ca="1" si="26"/>
        <v>11.61682311958921</v>
      </c>
      <c r="D186" s="21">
        <f t="shared" ca="1" si="31"/>
        <v>11.61682311958921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11.344001549572862</v>
      </c>
      <c r="C187" s="20">
        <f t="shared" ca="1" si="26"/>
        <v>10.087280553819733</v>
      </c>
      <c r="D187" s="21">
        <f t="shared" ca="1" si="31"/>
        <v>10.087280553819733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10.587558278410901</v>
      </c>
      <c r="C188" s="20">
        <f t="shared" ca="1" si="26"/>
        <v>8.5512095013916252</v>
      </c>
      <c r="D188" s="21">
        <f t="shared" ca="1" si="31"/>
        <v>8.5512095013916252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13.140672740177326</v>
      </c>
      <c r="C189" s="20">
        <f t="shared" ca="1" si="26"/>
        <v>11.299855807000572</v>
      </c>
      <c r="D189" s="21">
        <f t="shared" ca="1" si="31"/>
        <v>11.299855807000572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10.356786742132304</v>
      </c>
      <c r="C190" s="20">
        <f t="shared" ca="1" si="26"/>
        <v>8.3935998640099569</v>
      </c>
      <c r="D190" s="21">
        <f t="shared" ca="1" si="31"/>
        <v>8.3935998640099569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11.711557818882266</v>
      </c>
      <c r="C191" s="20">
        <f t="shared" ca="1" si="26"/>
        <v>11.951620042779419</v>
      </c>
      <c r="D191" s="21">
        <f t="shared" ca="1" si="31"/>
        <v>11.951620042779419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11.039530510985905</v>
      </c>
      <c r="C192" s="20">
        <f t="shared" ca="1" si="26"/>
        <v>10.825946538568799</v>
      </c>
      <c r="D192" s="21">
        <f t="shared" ref="D192:G211" ca="1" si="34">IF(AND(ISNUMBER($D$1),$F$1&gt;0,ISNUMBER(D$11),D$11&lt;=$H$1),_xlfn.NORM.INV(RAND(),$D$1,SQRT($F$1)),"")</f>
        <v>10.825946538568799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13.178577638618838</v>
      </c>
      <c r="C193" s="20">
        <f t="shared" ca="1" si="26"/>
        <v>10.790289299482748</v>
      </c>
      <c r="D193" s="21">
        <f t="shared" ca="1" si="34"/>
        <v>10.790289299482748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9.483843216512172</v>
      </c>
      <c r="C194" s="20">
        <f t="shared" ca="1" si="26"/>
        <v>9.7297810840098702</v>
      </c>
      <c r="D194" s="21">
        <f t="shared" ca="1" si="34"/>
        <v>9.7297810840098702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10.441550868335758</v>
      </c>
      <c r="C195" s="20">
        <f t="shared" ca="1" si="26"/>
        <v>12.817127223832349</v>
      </c>
      <c r="D195" s="21">
        <f t="shared" ca="1" si="34"/>
        <v>12.817127223832349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7.7999814372127858</v>
      </c>
      <c r="C196" s="20">
        <f t="shared" ca="1" si="26"/>
        <v>12.525604066910127</v>
      </c>
      <c r="D196" s="21">
        <f t="shared" ca="1" si="34"/>
        <v>12.525604066910127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8.5603553073388952</v>
      </c>
      <c r="C197" s="20">
        <f t="shared" ca="1" si="26"/>
        <v>10.764990812778869</v>
      </c>
      <c r="D197" s="21">
        <f t="shared" ca="1" si="34"/>
        <v>10.764990812778869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9.9725986338561761</v>
      </c>
      <c r="C198" s="20">
        <f t="shared" ca="1" si="26"/>
        <v>8.776378379889735</v>
      </c>
      <c r="D198" s="21">
        <f t="shared" ca="1" si="34"/>
        <v>8.776378379889735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10.503156588620552</v>
      </c>
      <c r="C199" s="20">
        <f t="shared" ca="1" si="26"/>
        <v>10.557713486346385</v>
      </c>
      <c r="D199" s="21">
        <f t="shared" ca="1" si="34"/>
        <v>10.557713486346385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9.9619476126388786</v>
      </c>
      <c r="C200" s="20">
        <f t="shared" ca="1" si="26"/>
        <v>9.3512627422683838</v>
      </c>
      <c r="D200" s="21">
        <f t="shared" ca="1" si="34"/>
        <v>9.3512627422683838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9.3950075074160679</v>
      </c>
      <c r="C201" s="20">
        <f t="shared" ca="1" si="26"/>
        <v>9.8779313053550197</v>
      </c>
      <c r="D201" s="21">
        <f t="shared" ca="1" si="34"/>
        <v>9.8779313053550197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8.0169027440932865</v>
      </c>
      <c r="C202" s="20">
        <f t="shared" ca="1" si="26"/>
        <v>7.3641486185661789</v>
      </c>
      <c r="D202" s="21">
        <f t="shared" ca="1" si="34"/>
        <v>7.3641486185661789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9.9480475044726493</v>
      </c>
      <c r="C203" s="20">
        <f t="shared" ca="1" si="26"/>
        <v>13.892666724677515</v>
      </c>
      <c r="D203" s="21">
        <f t="shared" ca="1" si="34"/>
        <v>13.892666724677515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9.9161516964301839</v>
      </c>
      <c r="C204" s="20">
        <f t="shared" ca="1" si="26"/>
        <v>8.1600233050555939</v>
      </c>
      <c r="D204" s="21">
        <f t="shared" ca="1" si="34"/>
        <v>8.1600233050555939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13.280211941544284</v>
      </c>
      <c r="C205" s="20">
        <f t="shared" ref="C205:C268" ca="1" si="38">IF(AND($H$1&gt;=1,ISNUMBER(D205)),AVERAGE(D205:W205),"")</f>
        <v>8.5081667664471698</v>
      </c>
      <c r="D205" s="21">
        <f t="shared" ca="1" si="34"/>
        <v>8.5081667664471698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9.993251345638372</v>
      </c>
      <c r="C206" s="20">
        <f t="shared" ca="1" si="38"/>
        <v>13.380812813731424</v>
      </c>
      <c r="D206" s="21">
        <f t="shared" ca="1" si="34"/>
        <v>13.380812813731424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9.8397715769988388</v>
      </c>
      <c r="C207" s="20">
        <f t="shared" ca="1" si="38"/>
        <v>10.116327989283741</v>
      </c>
      <c r="D207" s="21">
        <f t="shared" ca="1" si="34"/>
        <v>10.116327989283741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11.181411589207555</v>
      </c>
      <c r="C208" s="20">
        <f t="shared" ca="1" si="38"/>
        <v>13.10046107630102</v>
      </c>
      <c r="D208" s="21">
        <f t="shared" ca="1" si="34"/>
        <v>13.10046107630102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9.3495856860352582</v>
      </c>
      <c r="C209" s="20">
        <f t="shared" ca="1" si="38"/>
        <v>5.1046542348988675</v>
      </c>
      <c r="D209" s="21">
        <f t="shared" ca="1" si="34"/>
        <v>5.1046542348988675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10.479294016990206</v>
      </c>
      <c r="C210" s="20">
        <f t="shared" ca="1" si="38"/>
        <v>10.047516864190055</v>
      </c>
      <c r="D210" s="21">
        <f t="shared" ca="1" si="34"/>
        <v>10.047516864190055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6.4600357652452018</v>
      </c>
      <c r="C211" s="20">
        <f t="shared" ca="1" si="38"/>
        <v>13.136843667772863</v>
      </c>
      <c r="D211" s="21">
        <f t="shared" ca="1" si="34"/>
        <v>13.136843667772863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8.4343754389109726</v>
      </c>
      <c r="C212" s="20">
        <f t="shared" ca="1" si="38"/>
        <v>10.308380082244449</v>
      </c>
      <c r="D212" s="21">
        <f t="shared" ref="D212:G231" ca="1" si="39">IF(AND(ISNUMBER($D$1),$F$1&gt;0,ISNUMBER(D$11),D$11&lt;=$H$1),_xlfn.NORM.INV(RAND(),$D$1,SQRT($F$1)),"")</f>
        <v>10.308380082244449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11.731681972912574</v>
      </c>
      <c r="C213" s="20">
        <f t="shared" ca="1" si="38"/>
        <v>7.4520164334160057</v>
      </c>
      <c r="D213" s="21">
        <f t="shared" ca="1" si="39"/>
        <v>7.4520164334160057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10.25968071426219</v>
      </c>
      <c r="C214" s="20">
        <f t="shared" ca="1" si="38"/>
        <v>8.7953238686687776</v>
      </c>
      <c r="D214" s="21">
        <f t="shared" ca="1" si="39"/>
        <v>8.7953238686687776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12.981232912399351</v>
      </c>
      <c r="C215" s="20">
        <f t="shared" ca="1" si="38"/>
        <v>11.185653313676934</v>
      </c>
      <c r="D215" s="21">
        <f t="shared" ca="1" si="39"/>
        <v>11.185653313676934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9.4317740135666046</v>
      </c>
      <c r="C216" s="20">
        <f t="shared" ca="1" si="38"/>
        <v>8.4084575167325823</v>
      </c>
      <c r="D216" s="21">
        <f t="shared" ca="1" si="39"/>
        <v>8.4084575167325823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10.689960955095209</v>
      </c>
      <c r="C217" s="20">
        <f t="shared" ca="1" si="38"/>
        <v>7.1146752712086814</v>
      </c>
      <c r="D217" s="21">
        <f t="shared" ca="1" si="39"/>
        <v>7.1146752712086814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6.783427086319044</v>
      </c>
      <c r="C218" s="20">
        <f t="shared" ca="1" si="38"/>
        <v>10.848663658542431</v>
      </c>
      <c r="D218" s="21">
        <f t="shared" ca="1" si="39"/>
        <v>10.848663658542431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13.364336762939546</v>
      </c>
      <c r="C219" s="20">
        <f t="shared" ca="1" si="38"/>
        <v>8.2653540242977019</v>
      </c>
      <c r="D219" s="21">
        <f t="shared" ca="1" si="39"/>
        <v>8.2653540242977019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9.4133122994038914</v>
      </c>
      <c r="C220" s="20">
        <f t="shared" ca="1" si="38"/>
        <v>10.169574111386131</v>
      </c>
      <c r="D220" s="21">
        <f t="shared" ca="1" si="39"/>
        <v>10.169574111386131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11.453121629287512</v>
      </c>
      <c r="C221" s="20">
        <f t="shared" ca="1" si="38"/>
        <v>12.451488976326299</v>
      </c>
      <c r="D221" s="21">
        <f t="shared" ca="1" si="39"/>
        <v>12.451488976326299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12.712830199182228</v>
      </c>
      <c r="C222" s="20">
        <f t="shared" ca="1" si="38"/>
        <v>9.7836803456268093</v>
      </c>
      <c r="D222" s="21">
        <f t="shared" ca="1" si="39"/>
        <v>9.7836803456268093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9.9477597620837024</v>
      </c>
      <c r="C223" s="20">
        <f t="shared" ca="1" si="38"/>
        <v>11.170170545033605</v>
      </c>
      <c r="D223" s="21">
        <f t="shared" ca="1" si="39"/>
        <v>11.170170545033605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11.90303765808407</v>
      </c>
      <c r="C224" s="20">
        <f t="shared" ca="1" si="38"/>
        <v>7.229788234225893</v>
      </c>
      <c r="D224" s="21">
        <f t="shared" ca="1" si="39"/>
        <v>7.229788234225893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7.7206411382236055</v>
      </c>
      <c r="C225" s="20">
        <f t="shared" ca="1" si="38"/>
        <v>9.0394983947224077</v>
      </c>
      <c r="D225" s="21">
        <f t="shared" ca="1" si="39"/>
        <v>9.0394983947224077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11.357143491071595</v>
      </c>
      <c r="C226" s="20">
        <f t="shared" ca="1" si="38"/>
        <v>11.62453537065478</v>
      </c>
      <c r="D226" s="21">
        <f t="shared" ca="1" si="39"/>
        <v>11.62453537065478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9.4908624373549628</v>
      </c>
      <c r="C227" s="20">
        <f t="shared" ca="1" si="38"/>
        <v>8.0994600793180993</v>
      </c>
      <c r="D227" s="21">
        <f t="shared" ca="1" si="39"/>
        <v>8.0994600793180993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6.9026969167072894</v>
      </c>
      <c r="C228" s="20">
        <f t="shared" ca="1" si="38"/>
        <v>9.281545009691655</v>
      </c>
      <c r="D228" s="21">
        <f t="shared" ca="1" si="39"/>
        <v>9.281545009691655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10.353670665524838</v>
      </c>
      <c r="C229" s="20">
        <f t="shared" ca="1" si="38"/>
        <v>8.6301030666414551</v>
      </c>
      <c r="D229" s="21">
        <f t="shared" ca="1" si="39"/>
        <v>8.6301030666414551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9.0741190443591986</v>
      </c>
      <c r="C230" s="20">
        <f t="shared" ca="1" si="38"/>
        <v>10.901361854561234</v>
      </c>
      <c r="D230" s="21">
        <f t="shared" ca="1" si="39"/>
        <v>10.901361854561234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8.3911356389841636</v>
      </c>
      <c r="C231" s="20">
        <f t="shared" ca="1" si="38"/>
        <v>10.309320059952432</v>
      </c>
      <c r="D231" s="21">
        <f t="shared" ca="1" si="39"/>
        <v>10.309320059952432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7.6677649431900221</v>
      </c>
      <c r="C232" s="20">
        <f t="shared" ca="1" si="38"/>
        <v>7.9068312107390248</v>
      </c>
      <c r="D232" s="21">
        <f t="shared" ref="D232:G251" ca="1" si="42">IF(AND(ISNUMBER($D$1),$F$1&gt;0,ISNUMBER(D$11),D$11&lt;=$H$1),_xlfn.NORM.INV(RAND(),$D$1,SQRT($F$1)),"")</f>
        <v>7.9068312107390248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11.979833372634689</v>
      </c>
      <c r="C233" s="20">
        <f t="shared" ca="1" si="38"/>
        <v>11.025041618107297</v>
      </c>
      <c r="D233" s="21">
        <f t="shared" ca="1" si="42"/>
        <v>11.025041618107297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6.9164025164879366</v>
      </c>
      <c r="C234" s="20">
        <f t="shared" ca="1" si="38"/>
        <v>8.6014891537821789</v>
      </c>
      <c r="D234" s="21">
        <f t="shared" ca="1" si="42"/>
        <v>8.6014891537821789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10.817983601326237</v>
      </c>
      <c r="C235" s="20">
        <f t="shared" ca="1" si="38"/>
        <v>8.6512020611122793</v>
      </c>
      <c r="D235" s="21">
        <f t="shared" ca="1" si="42"/>
        <v>8.6512020611122793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9.4089956684493323</v>
      </c>
      <c r="C236" s="20">
        <f t="shared" ca="1" si="38"/>
        <v>11.34890034070442</v>
      </c>
      <c r="D236" s="21">
        <f t="shared" ca="1" si="42"/>
        <v>11.34890034070442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8.5544174971012943</v>
      </c>
      <c r="C237" s="20">
        <f t="shared" ca="1" si="38"/>
        <v>9.9746371823781672</v>
      </c>
      <c r="D237" s="21">
        <f t="shared" ca="1" si="42"/>
        <v>9.9746371823781672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7.6764186957025178</v>
      </c>
      <c r="C238" s="20">
        <f t="shared" ca="1" si="38"/>
        <v>14.576330925261676</v>
      </c>
      <c r="D238" s="21">
        <f t="shared" ca="1" si="42"/>
        <v>14.576330925261676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11.770594968489739</v>
      </c>
      <c r="C239" s="20">
        <f t="shared" ca="1" si="38"/>
        <v>8.5360961809737486</v>
      </c>
      <c r="D239" s="21">
        <f t="shared" ca="1" si="42"/>
        <v>8.5360961809737486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9.0597073285691074</v>
      </c>
      <c r="C240" s="20">
        <f t="shared" ca="1" si="38"/>
        <v>10.370065350837452</v>
      </c>
      <c r="D240" s="21">
        <f t="shared" ca="1" si="42"/>
        <v>10.370065350837452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11.807396828203379</v>
      </c>
      <c r="C241" s="20">
        <f t="shared" ca="1" si="38"/>
        <v>10.58196091827341</v>
      </c>
      <c r="D241" s="21">
        <f t="shared" ca="1" si="42"/>
        <v>10.58196091827341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9.4632915307499914</v>
      </c>
      <c r="C242" s="20">
        <f t="shared" ca="1" si="38"/>
        <v>9.0241414777368831</v>
      </c>
      <c r="D242" s="21">
        <f t="shared" ca="1" si="42"/>
        <v>9.0241414777368831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8.6641385653209966</v>
      </c>
      <c r="C243" s="20">
        <f t="shared" ca="1" si="38"/>
        <v>13.361128714989315</v>
      </c>
      <c r="D243" s="21">
        <f t="shared" ca="1" si="42"/>
        <v>13.361128714989315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6.698968086743708</v>
      </c>
      <c r="C244" s="20">
        <f t="shared" ca="1" si="38"/>
        <v>8.5173015936969136</v>
      </c>
      <c r="D244" s="21">
        <f t="shared" ca="1" si="42"/>
        <v>8.5173015936969136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11.578897034958308</v>
      </c>
      <c r="C245" s="20">
        <f t="shared" ca="1" si="38"/>
        <v>9.6793175965703391</v>
      </c>
      <c r="D245" s="21">
        <f t="shared" ca="1" si="42"/>
        <v>9.6793175965703391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12.431151020240273</v>
      </c>
      <c r="C246" s="20">
        <f t="shared" ca="1" si="38"/>
        <v>13.603135524730609</v>
      </c>
      <c r="D246" s="21">
        <f t="shared" ca="1" si="42"/>
        <v>13.603135524730609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6.5003776996476219</v>
      </c>
      <c r="C247" s="20">
        <f t="shared" ca="1" si="38"/>
        <v>7.1576855842891742</v>
      </c>
      <c r="D247" s="21">
        <f t="shared" ca="1" si="42"/>
        <v>7.1576855842891742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10.785548732278732</v>
      </c>
      <c r="C248" s="20">
        <f t="shared" ca="1" si="38"/>
        <v>13.220313018939255</v>
      </c>
      <c r="D248" s="21">
        <f t="shared" ca="1" si="42"/>
        <v>13.220313018939255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9.7537644189757557</v>
      </c>
      <c r="C249" s="20">
        <f t="shared" ca="1" si="38"/>
        <v>9.0371204144731685</v>
      </c>
      <c r="D249" s="21">
        <f t="shared" ca="1" si="42"/>
        <v>9.0371204144731685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10.980430045353746</v>
      </c>
      <c r="C250" s="20">
        <f t="shared" ca="1" si="38"/>
        <v>9.2357098434491363</v>
      </c>
      <c r="D250" s="21">
        <f t="shared" ca="1" si="42"/>
        <v>9.2357098434491363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10.540556866038234</v>
      </c>
      <c r="C251" s="20">
        <f t="shared" ca="1" si="38"/>
        <v>9.239134993432053</v>
      </c>
      <c r="D251" s="21">
        <f t="shared" ca="1" si="42"/>
        <v>9.239134993432053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12.771092163457952</v>
      </c>
      <c r="C252" s="20">
        <f t="shared" ca="1" si="38"/>
        <v>11.394675432993493</v>
      </c>
      <c r="D252" s="21">
        <f t="shared" ref="D252:G271" ca="1" si="45">IF(AND(ISNUMBER($D$1),$F$1&gt;0,ISNUMBER(D$11),D$11&lt;=$H$1),_xlfn.NORM.INV(RAND(),$D$1,SQRT($F$1)),"")</f>
        <v>11.394675432993493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8.6215079291830534</v>
      </c>
      <c r="C253" s="20">
        <f t="shared" ca="1" si="38"/>
        <v>12.114974116177525</v>
      </c>
      <c r="D253" s="21">
        <f t="shared" ca="1" si="45"/>
        <v>12.114974116177525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8.1752308352334744</v>
      </c>
      <c r="C254" s="20">
        <f t="shared" ca="1" si="38"/>
        <v>9.3893141097245536</v>
      </c>
      <c r="D254" s="21">
        <f t="shared" ca="1" si="45"/>
        <v>9.3893141097245536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12.478669853776355</v>
      </c>
      <c r="C255" s="20">
        <f t="shared" ca="1" si="38"/>
        <v>12.886817574544718</v>
      </c>
      <c r="D255" s="21">
        <f t="shared" ca="1" si="45"/>
        <v>12.886817574544718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11.689307109980799</v>
      </c>
      <c r="C256" s="20">
        <f t="shared" ca="1" si="38"/>
        <v>9.3454778370180183</v>
      </c>
      <c r="D256" s="21">
        <f t="shared" ca="1" si="45"/>
        <v>9.3454778370180183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8.032269891679471</v>
      </c>
      <c r="C257" s="20">
        <f t="shared" ca="1" si="38"/>
        <v>6.5530616452342594</v>
      </c>
      <c r="D257" s="21">
        <f t="shared" ca="1" si="45"/>
        <v>6.5530616452342594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6.0398732495009906</v>
      </c>
      <c r="C258" s="20">
        <f t="shared" ca="1" si="38"/>
        <v>9.1333621655885544</v>
      </c>
      <c r="D258" s="21">
        <f t="shared" ca="1" si="45"/>
        <v>9.1333621655885544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12.660592863446976</v>
      </c>
      <c r="C259" s="20">
        <f t="shared" ca="1" si="38"/>
        <v>9.4916851029299742</v>
      </c>
      <c r="D259" s="21">
        <f t="shared" ca="1" si="45"/>
        <v>9.4916851029299742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10.069263545864432</v>
      </c>
      <c r="C260" s="20">
        <f t="shared" ca="1" si="38"/>
        <v>13.834807367325197</v>
      </c>
      <c r="D260" s="21">
        <f t="shared" ca="1" si="45"/>
        <v>13.834807367325197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5.8561928579369908</v>
      </c>
      <c r="C261" s="20">
        <f t="shared" ca="1" si="38"/>
        <v>12.302127086917377</v>
      </c>
      <c r="D261" s="21">
        <f t="shared" ca="1" si="45"/>
        <v>12.302127086917377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10.246051532764728</v>
      </c>
      <c r="C262" s="20">
        <f t="shared" ca="1" si="38"/>
        <v>11.856011641513083</v>
      </c>
      <c r="D262" s="21">
        <f t="shared" ca="1" si="45"/>
        <v>11.856011641513083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10.745038851653971</v>
      </c>
      <c r="C263" s="20">
        <f t="shared" ca="1" si="38"/>
        <v>11.018779940028887</v>
      </c>
      <c r="D263" s="21">
        <f t="shared" ca="1" si="45"/>
        <v>11.018779940028887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11.030966718360645</v>
      </c>
      <c r="C264" s="20">
        <f t="shared" ca="1" si="38"/>
        <v>9.477406712451824</v>
      </c>
      <c r="D264" s="21">
        <f t="shared" ca="1" si="45"/>
        <v>9.477406712451824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8.379036417695982</v>
      </c>
      <c r="C265" s="20">
        <f t="shared" ca="1" si="38"/>
        <v>10.855846991621272</v>
      </c>
      <c r="D265" s="21">
        <f t="shared" ca="1" si="45"/>
        <v>10.855846991621272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12.318765477968814</v>
      </c>
      <c r="C266" s="20">
        <f t="shared" ca="1" si="38"/>
        <v>7.2872762662206476</v>
      </c>
      <c r="D266" s="21">
        <f t="shared" ca="1" si="45"/>
        <v>7.2872762662206476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11.093087227022417</v>
      </c>
      <c r="C267" s="20">
        <f t="shared" ca="1" si="38"/>
        <v>10.433219428080704</v>
      </c>
      <c r="D267" s="21">
        <f t="shared" ca="1" si="45"/>
        <v>10.433219428080704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9.8873563998520453</v>
      </c>
      <c r="C268" s="20">
        <f t="shared" ca="1" si="38"/>
        <v>12.540527017326177</v>
      </c>
      <c r="D268" s="21">
        <f t="shared" ca="1" si="45"/>
        <v>12.540527017326177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7.3157687852250612</v>
      </c>
      <c r="C269" s="20">
        <f t="shared" ref="C269:C332" ca="1" si="49">IF(AND($H$1&gt;=1,ISNUMBER(D269)),AVERAGE(D269:W269),"")</f>
        <v>7.218024835974731</v>
      </c>
      <c r="D269" s="21">
        <f t="shared" ca="1" si="45"/>
        <v>7.218024835974731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9.9018162272726524</v>
      </c>
      <c r="C270" s="20">
        <f t="shared" ca="1" si="49"/>
        <v>11.267360521296258</v>
      </c>
      <c r="D270" s="21">
        <f t="shared" ca="1" si="45"/>
        <v>11.267360521296258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7.1270599793874787</v>
      </c>
      <c r="C271" s="20">
        <f t="shared" ca="1" si="49"/>
        <v>11.091247956170273</v>
      </c>
      <c r="D271" s="21">
        <f t="shared" ca="1" si="45"/>
        <v>11.091247956170273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7.6453595044302904</v>
      </c>
      <c r="C272" s="20">
        <f t="shared" ca="1" si="49"/>
        <v>10.601752190994766</v>
      </c>
      <c r="D272" s="21">
        <f t="shared" ref="D272:G291" ca="1" si="50">IF(AND(ISNUMBER($D$1),$F$1&gt;0,ISNUMBER(D$11),D$11&lt;=$H$1),_xlfn.NORM.INV(RAND(),$D$1,SQRT($F$1)),"")</f>
        <v>10.601752190994766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12.482623929559166</v>
      </c>
      <c r="C273" s="20">
        <f t="shared" ca="1" si="49"/>
        <v>8.4042846634453134</v>
      </c>
      <c r="D273" s="21">
        <f t="shared" ca="1" si="50"/>
        <v>8.4042846634453134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8.0846214139623385</v>
      </c>
      <c r="C274" s="20">
        <f t="shared" ca="1" si="49"/>
        <v>10.152233314501377</v>
      </c>
      <c r="D274" s="21">
        <f t="shared" ca="1" si="50"/>
        <v>10.152233314501377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11.315839808614907</v>
      </c>
      <c r="C275" s="20">
        <f t="shared" ca="1" si="49"/>
        <v>8.8400380190921197</v>
      </c>
      <c r="D275" s="21">
        <f t="shared" ca="1" si="50"/>
        <v>8.8400380190921197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12.490134338528073</v>
      </c>
      <c r="C276" s="20">
        <f t="shared" ca="1" si="49"/>
        <v>7.3996793896365496</v>
      </c>
      <c r="D276" s="21">
        <f t="shared" ca="1" si="50"/>
        <v>7.3996793896365496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9.0121181391043077</v>
      </c>
      <c r="C277" s="20">
        <f t="shared" ca="1" si="49"/>
        <v>13.87410736831675</v>
      </c>
      <c r="D277" s="21">
        <f t="shared" ca="1" si="50"/>
        <v>13.87410736831675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8.288926521090989</v>
      </c>
      <c r="C278" s="20">
        <f t="shared" ca="1" si="49"/>
        <v>8.0291017614575662</v>
      </c>
      <c r="D278" s="21">
        <f t="shared" ca="1" si="50"/>
        <v>8.0291017614575662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8.4119177865463417</v>
      </c>
      <c r="C279" s="20">
        <f t="shared" ca="1" si="49"/>
        <v>14.810791363609795</v>
      </c>
      <c r="D279" s="21">
        <f t="shared" ca="1" si="50"/>
        <v>14.810791363609795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10.177081382246106</v>
      </c>
      <c r="C280" s="20">
        <f t="shared" ca="1" si="49"/>
        <v>7.6340990676526523</v>
      </c>
      <c r="D280" s="21">
        <f t="shared" ca="1" si="50"/>
        <v>7.6340990676526523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9.974490110740879</v>
      </c>
      <c r="C281" s="20">
        <f t="shared" ca="1" si="49"/>
        <v>10.86281836579003</v>
      </c>
      <c r="D281" s="21">
        <f t="shared" ca="1" si="50"/>
        <v>10.86281836579003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8.0259955694788552</v>
      </c>
      <c r="C282" s="20">
        <f t="shared" ca="1" si="49"/>
        <v>12.466715730455004</v>
      </c>
      <c r="D282" s="21">
        <f t="shared" ca="1" si="50"/>
        <v>12.466715730455004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9.9936237554610994</v>
      </c>
      <c r="C283" s="20">
        <f t="shared" ca="1" si="49"/>
        <v>9.6206516372161452</v>
      </c>
      <c r="D283" s="21">
        <f t="shared" ca="1" si="50"/>
        <v>9.6206516372161452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8.5340469138387984</v>
      </c>
      <c r="C284" s="20">
        <f t="shared" ca="1" si="49"/>
        <v>12.32093810623044</v>
      </c>
      <c r="D284" s="21">
        <f t="shared" ca="1" si="50"/>
        <v>12.32093810623044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6.2690871202047118</v>
      </c>
      <c r="C285" s="20">
        <f t="shared" ca="1" si="49"/>
        <v>13.671560790537747</v>
      </c>
      <c r="D285" s="21">
        <f t="shared" ca="1" si="50"/>
        <v>13.671560790537747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10.573979087059321</v>
      </c>
      <c r="C286" s="20">
        <f t="shared" ca="1" si="49"/>
        <v>9.1028247277907752</v>
      </c>
      <c r="D286" s="21">
        <f t="shared" ca="1" si="50"/>
        <v>9.1028247277907752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14.192535535342166</v>
      </c>
      <c r="C287" s="20">
        <f t="shared" ca="1" si="49"/>
        <v>9.5256883835903139</v>
      </c>
      <c r="D287" s="21">
        <f t="shared" ca="1" si="50"/>
        <v>9.5256883835903139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7.3814777551979995</v>
      </c>
      <c r="C288" s="20">
        <f t="shared" ca="1" si="49"/>
        <v>8.4515968256400456</v>
      </c>
      <c r="D288" s="21">
        <f t="shared" ca="1" si="50"/>
        <v>8.4515968256400456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9.0249483892493494</v>
      </c>
      <c r="C289" s="20">
        <f t="shared" ca="1" si="49"/>
        <v>8.5576863001492764</v>
      </c>
      <c r="D289" s="21">
        <f t="shared" ca="1" si="50"/>
        <v>8.5576863001492764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9.2428674226850696</v>
      </c>
      <c r="C290" s="20">
        <f t="shared" ca="1" si="49"/>
        <v>8.2909540434689646</v>
      </c>
      <c r="D290" s="21">
        <f t="shared" ca="1" si="50"/>
        <v>8.2909540434689646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5.7402621653429486</v>
      </c>
      <c r="C291" s="20">
        <f t="shared" ca="1" si="49"/>
        <v>5.3289855632955119</v>
      </c>
      <c r="D291" s="21">
        <f t="shared" ca="1" si="50"/>
        <v>5.3289855632955119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8.467318010905899</v>
      </c>
      <c r="C292" s="20">
        <f t="shared" ca="1" si="49"/>
        <v>6.1676564907316447</v>
      </c>
      <c r="D292" s="21">
        <f t="shared" ref="D292:G311" ca="1" si="53">IF(AND(ISNUMBER($D$1),$F$1&gt;0,ISNUMBER(D$11),D$11&lt;=$H$1),_xlfn.NORM.INV(RAND(),$D$1,SQRT($F$1)),"")</f>
        <v>6.1676564907316447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11.425418762059444</v>
      </c>
      <c r="C293" s="20">
        <f t="shared" ca="1" si="49"/>
        <v>10.818991265904701</v>
      </c>
      <c r="D293" s="21">
        <f t="shared" ca="1" si="53"/>
        <v>10.818991265904701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11.162293899076502</v>
      </c>
      <c r="C294" s="20">
        <f t="shared" ca="1" si="49"/>
        <v>9.0031762889598053</v>
      </c>
      <c r="D294" s="21">
        <f t="shared" ca="1" si="53"/>
        <v>9.0031762889598053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10.280501659122404</v>
      </c>
      <c r="C295" s="20">
        <f t="shared" ca="1" si="49"/>
        <v>10.211321256720426</v>
      </c>
      <c r="D295" s="21">
        <f t="shared" ca="1" si="53"/>
        <v>10.211321256720426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9.9764016089920133</v>
      </c>
      <c r="C296" s="20">
        <f t="shared" ca="1" si="49"/>
        <v>10.117310366150869</v>
      </c>
      <c r="D296" s="21">
        <f t="shared" ca="1" si="53"/>
        <v>10.117310366150869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9.0470896641354344</v>
      </c>
      <c r="C297" s="20">
        <f t="shared" ca="1" si="49"/>
        <v>15.043283099494394</v>
      </c>
      <c r="D297" s="21">
        <f t="shared" ca="1" si="53"/>
        <v>15.043283099494394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9.5853426817468037</v>
      </c>
      <c r="C298" s="20">
        <f t="shared" ca="1" si="49"/>
        <v>12.653731249088125</v>
      </c>
      <c r="D298" s="21">
        <f t="shared" ca="1" si="53"/>
        <v>12.653731249088125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9.0361527254167875</v>
      </c>
      <c r="C299" s="20">
        <f t="shared" ca="1" si="49"/>
        <v>13.099644359189661</v>
      </c>
      <c r="D299" s="21">
        <f t="shared" ca="1" si="53"/>
        <v>13.099644359189661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3.0450478387491762</v>
      </c>
      <c r="C300" s="20">
        <f t="shared" ca="1" si="49"/>
        <v>12.67864679021881</v>
      </c>
      <c r="D300" s="21">
        <f t="shared" ca="1" si="53"/>
        <v>12.67864679021881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7.4128998906479566</v>
      </c>
      <c r="C301" s="20">
        <f t="shared" ca="1" si="49"/>
        <v>8.5759278247265467</v>
      </c>
      <c r="D301" s="21">
        <f t="shared" ca="1" si="53"/>
        <v>8.5759278247265467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7.2187633233379502</v>
      </c>
      <c r="C302" s="20">
        <f t="shared" ca="1" si="49"/>
        <v>7.5362532173119003</v>
      </c>
      <c r="D302" s="21">
        <f t="shared" ca="1" si="53"/>
        <v>7.5362532173119003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9.1023876279624254</v>
      </c>
      <c r="C303" s="20">
        <f t="shared" ca="1" si="49"/>
        <v>12.763186226062423</v>
      </c>
      <c r="D303" s="21">
        <f t="shared" ca="1" si="53"/>
        <v>12.763186226062423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9.7725827510672705</v>
      </c>
      <c r="C304" s="20">
        <f t="shared" ca="1" si="49"/>
        <v>9.1087312943661161</v>
      </c>
      <c r="D304" s="21">
        <f t="shared" ca="1" si="53"/>
        <v>9.1087312943661161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9.5296325540755831</v>
      </c>
      <c r="C305" s="20">
        <f t="shared" ca="1" si="49"/>
        <v>7.2485877161818699</v>
      </c>
      <c r="D305" s="21">
        <f t="shared" ca="1" si="53"/>
        <v>7.2485877161818699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8.2720959333629889</v>
      </c>
      <c r="C306" s="20">
        <f t="shared" ca="1" si="49"/>
        <v>8.2985443957771725</v>
      </c>
      <c r="D306" s="21">
        <f t="shared" ca="1" si="53"/>
        <v>8.2985443957771725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8.838621427102467</v>
      </c>
      <c r="C307" s="20">
        <f t="shared" ca="1" si="49"/>
        <v>9.0102084207501303</v>
      </c>
      <c r="D307" s="21">
        <f t="shared" ca="1" si="53"/>
        <v>9.0102084207501303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14.360106382038424</v>
      </c>
      <c r="C308" s="20">
        <f t="shared" ca="1" si="49"/>
        <v>8.1362865061786405</v>
      </c>
      <c r="D308" s="21">
        <f t="shared" ca="1" si="53"/>
        <v>8.1362865061786405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10.650054221648483</v>
      </c>
      <c r="C309" s="20">
        <f t="shared" ca="1" si="49"/>
        <v>10.597664890705062</v>
      </c>
      <c r="D309" s="21">
        <f t="shared" ca="1" si="53"/>
        <v>10.597664890705062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7.2916656790610048</v>
      </c>
      <c r="C310" s="20">
        <f t="shared" ca="1" si="49"/>
        <v>8.1058947119533684</v>
      </c>
      <c r="D310" s="21">
        <f t="shared" ca="1" si="53"/>
        <v>8.1058947119533684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8.6055718769680674</v>
      </c>
      <c r="C311" s="20">
        <f t="shared" ca="1" si="49"/>
        <v>8.1018413845007</v>
      </c>
      <c r="D311" s="21">
        <f t="shared" ca="1" si="53"/>
        <v>8.1018413845007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8.933057675407257</v>
      </c>
      <c r="C312" s="20">
        <f t="shared" ca="1" si="49"/>
        <v>10.679457413672351</v>
      </c>
      <c r="D312" s="21">
        <f t="shared" ref="D312:G331" ca="1" si="56">IF(AND(ISNUMBER($D$1),$F$1&gt;0,ISNUMBER(D$11),D$11&lt;=$H$1),_xlfn.NORM.INV(RAND(),$D$1,SQRT($F$1)),"")</f>
        <v>10.679457413672351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9.0877776429985708</v>
      </c>
      <c r="C313" s="20">
        <f t="shared" ca="1" si="49"/>
        <v>11.137871647602699</v>
      </c>
      <c r="D313" s="21">
        <f t="shared" ca="1" si="56"/>
        <v>11.137871647602699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7.8671163894763918</v>
      </c>
      <c r="C314" s="20">
        <f t="shared" ca="1" si="49"/>
        <v>11.403311274923942</v>
      </c>
      <c r="D314" s="21">
        <f t="shared" ca="1" si="56"/>
        <v>11.403311274923942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8.633691192791952</v>
      </c>
      <c r="C315" s="20">
        <f t="shared" ca="1" si="49"/>
        <v>11.217382776154029</v>
      </c>
      <c r="D315" s="21">
        <f t="shared" ca="1" si="56"/>
        <v>11.217382776154029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11.926350566848976</v>
      </c>
      <c r="C316" s="20">
        <f t="shared" ca="1" si="49"/>
        <v>10.383897767424902</v>
      </c>
      <c r="D316" s="21">
        <f t="shared" ca="1" si="56"/>
        <v>10.383897767424902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9.8959799700554161</v>
      </c>
      <c r="C317" s="20">
        <f t="shared" ca="1" si="49"/>
        <v>10.646803509313438</v>
      </c>
      <c r="D317" s="21">
        <f t="shared" ca="1" si="56"/>
        <v>10.646803509313438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10.733347139730212</v>
      </c>
      <c r="C318" s="20">
        <f t="shared" ca="1" si="49"/>
        <v>6.9214632570970807</v>
      </c>
      <c r="D318" s="21">
        <f t="shared" ca="1" si="56"/>
        <v>6.9214632570970807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12.111256030184208</v>
      </c>
      <c r="C319" s="20">
        <f t="shared" ca="1" si="49"/>
        <v>9.5172872922532754</v>
      </c>
      <c r="D319" s="21">
        <f t="shared" ca="1" si="56"/>
        <v>9.5172872922532754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10.120545031898436</v>
      </c>
      <c r="C320" s="20">
        <f t="shared" ca="1" si="49"/>
        <v>8.0070313360667633</v>
      </c>
      <c r="D320" s="21">
        <f t="shared" ca="1" si="56"/>
        <v>8.0070313360667633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5.5457126871960698</v>
      </c>
      <c r="C321" s="20">
        <f t="shared" ca="1" si="49"/>
        <v>8.3835602128336557</v>
      </c>
      <c r="D321" s="21">
        <f t="shared" ca="1" si="56"/>
        <v>8.3835602128336557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10.480136684950104</v>
      </c>
      <c r="C322" s="20">
        <f t="shared" ca="1" si="49"/>
        <v>8.3966870212790461</v>
      </c>
      <c r="D322" s="21">
        <f t="shared" ca="1" si="56"/>
        <v>8.3966870212790461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10.36994492112728</v>
      </c>
      <c r="C323" s="20">
        <f t="shared" ca="1" si="49"/>
        <v>6.2709070329763996</v>
      </c>
      <c r="D323" s="21">
        <f t="shared" ca="1" si="56"/>
        <v>6.2709070329763996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7.4069481812510301</v>
      </c>
      <c r="C324" s="20">
        <f t="shared" ca="1" si="49"/>
        <v>9.3523002782242095</v>
      </c>
      <c r="D324" s="21">
        <f t="shared" ca="1" si="56"/>
        <v>9.3523002782242095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9.7035671752380317</v>
      </c>
      <c r="C325" s="20">
        <f t="shared" ca="1" si="49"/>
        <v>8.7352615154945834</v>
      </c>
      <c r="D325" s="21">
        <f t="shared" ca="1" si="56"/>
        <v>8.7352615154945834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12.101612187342049</v>
      </c>
      <c r="C326" s="20">
        <f t="shared" ca="1" si="49"/>
        <v>11.79548497221341</v>
      </c>
      <c r="D326" s="21">
        <f t="shared" ca="1" si="56"/>
        <v>11.79548497221341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7.8556495395875459</v>
      </c>
      <c r="C327" s="20">
        <f t="shared" ca="1" si="49"/>
        <v>10.306275879018575</v>
      </c>
      <c r="D327" s="21">
        <f t="shared" ca="1" si="56"/>
        <v>10.306275879018575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6.1170300918223273</v>
      </c>
      <c r="C328" s="20">
        <f t="shared" ca="1" si="49"/>
        <v>9.9506810678155571</v>
      </c>
      <c r="D328" s="21">
        <f t="shared" ca="1" si="56"/>
        <v>9.9506810678155571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9.7074890948757044</v>
      </c>
      <c r="C329" s="20">
        <f t="shared" ca="1" si="49"/>
        <v>10.863458143668666</v>
      </c>
      <c r="D329" s="21">
        <f t="shared" ca="1" si="56"/>
        <v>10.863458143668666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10.463682388193451</v>
      </c>
      <c r="C330" s="20">
        <f t="shared" ca="1" si="49"/>
        <v>10.76074660113105</v>
      </c>
      <c r="D330" s="21">
        <f t="shared" ca="1" si="56"/>
        <v>10.76074660113105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10.380564039170967</v>
      </c>
      <c r="C331" s="20">
        <f t="shared" ca="1" si="49"/>
        <v>8.7373087074515059</v>
      </c>
      <c r="D331" s="21">
        <f t="shared" ca="1" si="56"/>
        <v>8.7373087074515059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9.3488129583810604</v>
      </c>
      <c r="C332" s="20">
        <f t="shared" ca="1" si="49"/>
        <v>10.645767615245148</v>
      </c>
      <c r="D332" s="21">
        <f t="shared" ref="D332:G351" ca="1" si="59">IF(AND(ISNUMBER($D$1),$F$1&gt;0,ISNUMBER(D$11),D$11&lt;=$H$1),_xlfn.NORM.INV(RAND(),$D$1,SQRT($F$1)),"")</f>
        <v>10.645767615245148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9.9683709350877319</v>
      </c>
      <c r="C333" s="20">
        <f t="shared" ref="C333:C396" ca="1" si="62">IF(AND($H$1&gt;=1,ISNUMBER(D333)),AVERAGE(D333:W333),"")</f>
        <v>10.815226507890641</v>
      </c>
      <c r="D333" s="21">
        <f t="shared" ca="1" si="59"/>
        <v>10.815226507890641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9.5416668734597838</v>
      </c>
      <c r="C334" s="20">
        <f t="shared" ca="1" si="62"/>
        <v>8.2285109532096037</v>
      </c>
      <c r="D334" s="21">
        <f t="shared" ca="1" si="59"/>
        <v>8.2285109532096037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11.956806938352596</v>
      </c>
      <c r="C335" s="20">
        <f t="shared" ca="1" si="62"/>
        <v>10.037351900838726</v>
      </c>
      <c r="D335" s="21">
        <f t="shared" ca="1" si="59"/>
        <v>10.037351900838726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16.106792736183237</v>
      </c>
      <c r="C336" s="20">
        <f t="shared" ca="1" si="62"/>
        <v>8.2720423087290449</v>
      </c>
      <c r="D336" s="21">
        <f t="shared" ca="1" si="59"/>
        <v>8.2720423087290449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6.6195282016470296</v>
      </c>
      <c r="C337" s="20">
        <f t="shared" ca="1" si="62"/>
        <v>8.080860136044576</v>
      </c>
      <c r="D337" s="21">
        <f t="shared" ca="1" si="59"/>
        <v>8.080860136044576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9.7172751393673327</v>
      </c>
      <c r="C338" s="20">
        <f t="shared" ca="1" si="62"/>
        <v>8.8288242621446447</v>
      </c>
      <c r="D338" s="21">
        <f t="shared" ca="1" si="59"/>
        <v>8.8288242621446447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9.4386586901875074</v>
      </c>
      <c r="C339" s="20">
        <f t="shared" ca="1" si="62"/>
        <v>11.518686719646684</v>
      </c>
      <c r="D339" s="21">
        <f t="shared" ca="1" si="59"/>
        <v>11.518686719646684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11.580356596857397</v>
      </c>
      <c r="C340" s="20">
        <f t="shared" ca="1" si="62"/>
        <v>10.89624670743811</v>
      </c>
      <c r="D340" s="21">
        <f t="shared" ca="1" si="59"/>
        <v>10.89624670743811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12.411411779463108</v>
      </c>
      <c r="C341" s="20">
        <f t="shared" ca="1" si="62"/>
        <v>8.2559341398979011</v>
      </c>
      <c r="D341" s="21">
        <f t="shared" ca="1" si="59"/>
        <v>8.2559341398979011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8.9537201175400476</v>
      </c>
      <c r="C342" s="20">
        <f t="shared" ca="1" si="62"/>
        <v>10.978816055507655</v>
      </c>
      <c r="D342" s="21">
        <f t="shared" ca="1" si="59"/>
        <v>10.978816055507655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6.7345869834658636</v>
      </c>
      <c r="C343" s="20">
        <f t="shared" ca="1" si="62"/>
        <v>10.852967662587641</v>
      </c>
      <c r="D343" s="21">
        <f t="shared" ca="1" si="59"/>
        <v>10.852967662587641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7.066655952722618</v>
      </c>
      <c r="C344" s="20">
        <f t="shared" ca="1" si="62"/>
        <v>9.7643927619077573</v>
      </c>
      <c r="D344" s="21">
        <f t="shared" ca="1" si="59"/>
        <v>9.7643927619077573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10.384059877297631</v>
      </c>
      <c r="C345" s="20">
        <f t="shared" ca="1" si="62"/>
        <v>8.9417367267571635</v>
      </c>
      <c r="D345" s="21">
        <f t="shared" ca="1" si="59"/>
        <v>8.9417367267571635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6.5771470380393486</v>
      </c>
      <c r="C346" s="20">
        <f t="shared" ca="1" si="62"/>
        <v>10.044330904685475</v>
      </c>
      <c r="D346" s="21">
        <f t="shared" ca="1" si="59"/>
        <v>10.044330904685475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10.224686994592748</v>
      </c>
      <c r="C347" s="20">
        <f t="shared" ca="1" si="62"/>
        <v>10.398270338882144</v>
      </c>
      <c r="D347" s="21">
        <f t="shared" ca="1" si="59"/>
        <v>10.398270338882144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7.4942039727069405</v>
      </c>
      <c r="C348" s="20">
        <f t="shared" ca="1" si="62"/>
        <v>7.0070320228516749</v>
      </c>
      <c r="D348" s="21">
        <f t="shared" ca="1" si="59"/>
        <v>7.0070320228516749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8.7702006351591422</v>
      </c>
      <c r="C349" s="20">
        <f t="shared" ca="1" si="62"/>
        <v>9.7011258380860017</v>
      </c>
      <c r="D349" s="21">
        <f t="shared" ca="1" si="59"/>
        <v>9.7011258380860017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13.736924959684419</v>
      </c>
      <c r="C350" s="20">
        <f t="shared" ca="1" si="62"/>
        <v>7.9531483094012749</v>
      </c>
      <c r="D350" s="21">
        <f t="shared" ca="1" si="59"/>
        <v>7.9531483094012749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10.090867608660711</v>
      </c>
      <c r="C351" s="20">
        <f t="shared" ca="1" si="62"/>
        <v>9.7258143491949625</v>
      </c>
      <c r="D351" s="21">
        <f t="shared" ca="1" si="59"/>
        <v>9.7258143491949625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12.236125923000726</v>
      </c>
      <c r="C352" s="20">
        <f t="shared" ca="1" si="62"/>
        <v>10.414824378689911</v>
      </c>
      <c r="D352" s="21">
        <f t="shared" ref="D352:G371" ca="1" si="64">IF(AND(ISNUMBER($D$1),$F$1&gt;0,ISNUMBER(D$11),D$11&lt;=$H$1),_xlfn.NORM.INV(RAND(),$D$1,SQRT($F$1)),"")</f>
        <v>10.414824378689911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9.8367217619225862</v>
      </c>
      <c r="C353" s="20">
        <f t="shared" ca="1" si="62"/>
        <v>8.9032984447841539</v>
      </c>
      <c r="D353" s="21">
        <f t="shared" ca="1" si="64"/>
        <v>8.9032984447841539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8.6490406825786099</v>
      </c>
      <c r="C354" s="20">
        <f t="shared" ca="1" si="62"/>
        <v>9.2486148787239415</v>
      </c>
      <c r="D354" s="21">
        <f t="shared" ca="1" si="64"/>
        <v>9.2486148787239415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10.186132966165925</v>
      </c>
      <c r="C355" s="20">
        <f t="shared" ca="1" si="62"/>
        <v>11.210399445501791</v>
      </c>
      <c r="D355" s="21">
        <f t="shared" ca="1" si="64"/>
        <v>11.210399445501791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9.65687105924167</v>
      </c>
      <c r="C356" s="20">
        <f t="shared" ca="1" si="62"/>
        <v>8.8093278594884303</v>
      </c>
      <c r="D356" s="21">
        <f t="shared" ca="1" si="64"/>
        <v>8.8093278594884303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10.274044492548168</v>
      </c>
      <c r="C357" s="20">
        <f t="shared" ca="1" si="62"/>
        <v>9.2324605299448681</v>
      </c>
      <c r="D357" s="21">
        <f t="shared" ca="1" si="64"/>
        <v>9.2324605299448681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5.771883697590444</v>
      </c>
      <c r="C358" s="20">
        <f t="shared" ca="1" si="62"/>
        <v>10.503671526341984</v>
      </c>
      <c r="D358" s="21">
        <f t="shared" ca="1" si="64"/>
        <v>10.503671526341984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8.3584130044809299</v>
      </c>
      <c r="C359" s="20">
        <f t="shared" ca="1" si="62"/>
        <v>12.068980597572654</v>
      </c>
      <c r="D359" s="21">
        <f t="shared" ca="1" si="64"/>
        <v>12.068980597572654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6.2244281178791958</v>
      </c>
      <c r="C360" s="20">
        <f t="shared" ca="1" si="62"/>
        <v>8.6192555006381877</v>
      </c>
      <c r="D360" s="21">
        <f t="shared" ca="1" si="64"/>
        <v>8.6192555006381877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10.501471680884558</v>
      </c>
      <c r="C361" s="20">
        <f t="shared" ca="1" si="62"/>
        <v>12.094780215170342</v>
      </c>
      <c r="D361" s="21">
        <f t="shared" ca="1" si="64"/>
        <v>12.094780215170342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7.527105745601645</v>
      </c>
      <c r="C362" s="20">
        <f t="shared" ca="1" si="62"/>
        <v>6.6085057090555503</v>
      </c>
      <c r="D362" s="21">
        <f t="shared" ca="1" si="64"/>
        <v>6.6085057090555503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13.102718208600207</v>
      </c>
      <c r="C363" s="20">
        <f t="shared" ca="1" si="62"/>
        <v>10.855876072742877</v>
      </c>
      <c r="D363" s="21">
        <f t="shared" ca="1" si="64"/>
        <v>10.855876072742877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8.7745382647751118</v>
      </c>
      <c r="C364" s="20">
        <f t="shared" ca="1" si="62"/>
        <v>8.9628395936057306</v>
      </c>
      <c r="D364" s="21">
        <f t="shared" ca="1" si="64"/>
        <v>8.9628395936057306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7.1448354115512682</v>
      </c>
      <c r="C365" s="20">
        <f t="shared" ca="1" si="62"/>
        <v>12.875824978812483</v>
      </c>
      <c r="D365" s="21">
        <f t="shared" ca="1" si="64"/>
        <v>12.875824978812483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7.5964285265135825</v>
      </c>
      <c r="C366" s="20">
        <f t="shared" ca="1" si="62"/>
        <v>13.018629145031634</v>
      </c>
      <c r="D366" s="21">
        <f t="shared" ca="1" si="64"/>
        <v>13.018629145031634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11.882862468344868</v>
      </c>
      <c r="C367" s="20">
        <f t="shared" ca="1" si="62"/>
        <v>8.4426919069352788</v>
      </c>
      <c r="D367" s="21">
        <f t="shared" ca="1" si="64"/>
        <v>8.4426919069352788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9.9392196500944188</v>
      </c>
      <c r="C368" s="20">
        <f t="shared" ca="1" si="62"/>
        <v>6.8705368771537358</v>
      </c>
      <c r="D368" s="21">
        <f t="shared" ca="1" si="64"/>
        <v>6.8705368771537358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12.14678813095416</v>
      </c>
      <c r="C369" s="20">
        <f t="shared" ca="1" si="62"/>
        <v>10.915230964658406</v>
      </c>
      <c r="D369" s="21">
        <f t="shared" ca="1" si="64"/>
        <v>10.915230964658406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12.260682781334999</v>
      </c>
      <c r="C370" s="20">
        <f t="shared" ca="1" si="62"/>
        <v>8.6261698713904078</v>
      </c>
      <c r="D370" s="21">
        <f t="shared" ca="1" si="64"/>
        <v>8.6261698713904078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10.377747260483146</v>
      </c>
      <c r="C371" s="20">
        <f t="shared" ca="1" si="62"/>
        <v>6.3928691719018058</v>
      </c>
      <c r="D371" s="21">
        <f t="shared" ca="1" si="64"/>
        <v>6.3928691719018058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7.4816951318644795</v>
      </c>
      <c r="C372" s="20">
        <f t="shared" ca="1" si="62"/>
        <v>7.6290671360973672</v>
      </c>
      <c r="D372" s="21">
        <f t="shared" ref="D372:G391" ca="1" si="67">IF(AND(ISNUMBER($D$1),$F$1&gt;0,ISNUMBER(D$11),D$11&lt;=$H$1),_xlfn.NORM.INV(RAND(),$D$1,SQRT($F$1)),"")</f>
        <v>7.6290671360973672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8.5892269684360496</v>
      </c>
      <c r="C373" s="20">
        <f t="shared" ca="1" si="62"/>
        <v>8.2338955065679045</v>
      </c>
      <c r="D373" s="21">
        <f t="shared" ca="1" si="67"/>
        <v>8.2338955065679045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11.781216586064051</v>
      </c>
      <c r="C374" s="20">
        <f t="shared" ca="1" si="62"/>
        <v>11.569812637809337</v>
      </c>
      <c r="D374" s="21">
        <f t="shared" ca="1" si="67"/>
        <v>11.569812637809337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11.61316113528455</v>
      </c>
      <c r="C375" s="20">
        <f t="shared" ca="1" si="62"/>
        <v>11.747232651718189</v>
      </c>
      <c r="D375" s="21">
        <f t="shared" ca="1" si="67"/>
        <v>11.747232651718189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7.1756721284923604</v>
      </c>
      <c r="C376" s="20">
        <f t="shared" ca="1" si="62"/>
        <v>9.7900941297420161</v>
      </c>
      <c r="D376" s="21">
        <f t="shared" ca="1" si="67"/>
        <v>9.7900941297420161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7.7354613291781753</v>
      </c>
      <c r="C377" s="20">
        <f t="shared" ca="1" si="62"/>
        <v>8.0251467617126213</v>
      </c>
      <c r="D377" s="21">
        <f t="shared" ca="1" si="67"/>
        <v>8.0251467617126213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11.529968137027364</v>
      </c>
      <c r="C378" s="20">
        <f t="shared" ca="1" si="62"/>
        <v>11.928414719171677</v>
      </c>
      <c r="D378" s="21">
        <f t="shared" ca="1" si="67"/>
        <v>11.928414719171677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9.747375776769573</v>
      </c>
      <c r="C379" s="20">
        <f t="shared" ca="1" si="62"/>
        <v>7.4502402338087439</v>
      </c>
      <c r="D379" s="21">
        <f t="shared" ca="1" si="67"/>
        <v>7.4502402338087439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7.4720369288144255</v>
      </c>
      <c r="C380" s="20">
        <f t="shared" ca="1" si="62"/>
        <v>10.136597560695586</v>
      </c>
      <c r="D380" s="21">
        <f t="shared" ca="1" si="67"/>
        <v>10.136597560695586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12.952775394134772</v>
      </c>
      <c r="C381" s="20">
        <f t="shared" ca="1" si="62"/>
        <v>9.3311609107923665</v>
      </c>
      <c r="D381" s="21">
        <f t="shared" ca="1" si="67"/>
        <v>9.3311609107923665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11.754092294292505</v>
      </c>
      <c r="C382" s="20">
        <f t="shared" ca="1" si="62"/>
        <v>9.2029057144918784</v>
      </c>
      <c r="D382" s="21">
        <f t="shared" ca="1" si="67"/>
        <v>9.2029057144918784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11.309230609986713</v>
      </c>
      <c r="C383" s="20">
        <f t="shared" ca="1" si="62"/>
        <v>8.9602331161779585</v>
      </c>
      <c r="D383" s="21">
        <f t="shared" ca="1" si="67"/>
        <v>8.9602331161779585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11.252756853332512</v>
      </c>
      <c r="C384" s="20">
        <f t="shared" ca="1" si="62"/>
        <v>10.541348942354512</v>
      </c>
      <c r="D384" s="21">
        <f t="shared" ca="1" si="67"/>
        <v>10.541348942354512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11.061557036238842</v>
      </c>
      <c r="C385" s="20">
        <f t="shared" ca="1" si="62"/>
        <v>8.9809443110645848</v>
      </c>
      <c r="D385" s="21">
        <f t="shared" ca="1" si="67"/>
        <v>8.9809443110645848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8.805937303601139</v>
      </c>
      <c r="C386" s="20">
        <f t="shared" ca="1" si="62"/>
        <v>11.107144296656973</v>
      </c>
      <c r="D386" s="21">
        <f t="shared" ca="1" si="67"/>
        <v>11.107144296656973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13.770810677838549</v>
      </c>
      <c r="C387" s="20">
        <f t="shared" ca="1" si="62"/>
        <v>10.374488532654706</v>
      </c>
      <c r="D387" s="21">
        <f t="shared" ca="1" si="67"/>
        <v>10.374488532654706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10.971622868566579</v>
      </c>
      <c r="C388" s="20">
        <f t="shared" ca="1" si="62"/>
        <v>9.4943627343772157</v>
      </c>
      <c r="D388" s="21">
        <f t="shared" ca="1" si="67"/>
        <v>9.4943627343772157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15.458500921906815</v>
      </c>
      <c r="C389" s="20">
        <f t="shared" ca="1" si="62"/>
        <v>8.1666167324300236</v>
      </c>
      <c r="D389" s="21">
        <f t="shared" ca="1" si="67"/>
        <v>8.1666167324300236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7.9288180384420013</v>
      </c>
      <c r="C390" s="20">
        <f t="shared" ca="1" si="62"/>
        <v>6.8393200666983338</v>
      </c>
      <c r="D390" s="21">
        <f t="shared" ca="1" si="67"/>
        <v>6.8393200666983338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8.7975618158238298</v>
      </c>
      <c r="C391" s="20">
        <f t="shared" ca="1" si="62"/>
        <v>7.349272368938319</v>
      </c>
      <c r="D391" s="21">
        <f t="shared" ca="1" si="67"/>
        <v>7.349272368938319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13.451208477664711</v>
      </c>
      <c r="C392" s="20">
        <f t="shared" ca="1" si="62"/>
        <v>7.0508983103103642</v>
      </c>
      <c r="D392" s="21">
        <f t="shared" ref="D392:G411" ca="1" si="70">IF(AND(ISNUMBER($D$1),$F$1&gt;0,ISNUMBER(D$11),D$11&lt;=$H$1),_xlfn.NORM.INV(RAND(),$D$1,SQRT($F$1)),"")</f>
        <v>7.0508983103103642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10.233037503722239</v>
      </c>
      <c r="C393" s="20">
        <f t="shared" ca="1" si="62"/>
        <v>14.191743023686175</v>
      </c>
      <c r="D393" s="21">
        <f t="shared" ca="1" si="70"/>
        <v>14.191743023686175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10.159211662477743</v>
      </c>
      <c r="C394" s="20">
        <f t="shared" ca="1" si="62"/>
        <v>7.7686705814633381</v>
      </c>
      <c r="D394" s="21">
        <f t="shared" ca="1" si="70"/>
        <v>7.7686705814633381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8.2437680919359835</v>
      </c>
      <c r="C395" s="20">
        <f t="shared" ca="1" si="62"/>
        <v>11.01675941092301</v>
      </c>
      <c r="D395" s="21">
        <f t="shared" ca="1" si="70"/>
        <v>11.01675941092301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11.329525622395916</v>
      </c>
      <c r="C396" s="20">
        <f t="shared" ca="1" si="62"/>
        <v>11.619594868931824</v>
      </c>
      <c r="D396" s="21">
        <f t="shared" ca="1" si="70"/>
        <v>11.619594868931824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9.453358884515767</v>
      </c>
      <c r="C397" s="20">
        <f t="shared" ref="C397:C460" ca="1" si="73">IF(AND($H$1&gt;=1,ISNUMBER(D397)),AVERAGE(D397:W397),"")</f>
        <v>6.8874235914561588</v>
      </c>
      <c r="D397" s="21">
        <f t="shared" ca="1" si="70"/>
        <v>6.8874235914561588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11.76476204576856</v>
      </c>
      <c r="C398" s="20">
        <f t="shared" ca="1" si="73"/>
        <v>12.086402171789416</v>
      </c>
      <c r="D398" s="21">
        <f t="shared" ca="1" si="70"/>
        <v>12.086402171789416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7.0960926936146977</v>
      </c>
      <c r="C399" s="20">
        <f t="shared" ca="1" si="73"/>
        <v>11.234522380899325</v>
      </c>
      <c r="D399" s="21">
        <f t="shared" ca="1" si="70"/>
        <v>11.234522380899325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10.731727132157388</v>
      </c>
      <c r="C400" s="20">
        <f t="shared" ca="1" si="73"/>
        <v>8.7977442507972334</v>
      </c>
      <c r="D400" s="21">
        <f t="shared" ca="1" si="70"/>
        <v>8.7977442507972334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10.558771181231903</v>
      </c>
      <c r="C401" s="20">
        <f t="shared" ca="1" si="73"/>
        <v>12.587324645920742</v>
      </c>
      <c r="D401" s="21">
        <f t="shared" ca="1" si="70"/>
        <v>12.587324645920742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11.704903041134983</v>
      </c>
      <c r="C402" s="20">
        <f t="shared" ca="1" si="73"/>
        <v>10.769932431399898</v>
      </c>
      <c r="D402" s="21">
        <f t="shared" ca="1" si="70"/>
        <v>10.769932431399898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9.8035114450317984</v>
      </c>
      <c r="C403" s="20">
        <f t="shared" ca="1" si="73"/>
        <v>10.2936062931948</v>
      </c>
      <c r="D403" s="21">
        <f t="shared" ca="1" si="70"/>
        <v>10.2936062931948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8.5657819430738993</v>
      </c>
      <c r="C404" s="20">
        <f t="shared" ca="1" si="73"/>
        <v>9.5771716837832717</v>
      </c>
      <c r="D404" s="21">
        <f t="shared" ca="1" si="70"/>
        <v>9.5771716837832717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10.764408382805779</v>
      </c>
      <c r="C405" s="20">
        <f t="shared" ca="1" si="73"/>
        <v>7.7228336501639809</v>
      </c>
      <c r="D405" s="21">
        <f t="shared" ca="1" si="70"/>
        <v>7.7228336501639809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7.8945321094536602</v>
      </c>
      <c r="C406" s="20">
        <f t="shared" ca="1" si="73"/>
        <v>13.535193857469368</v>
      </c>
      <c r="D406" s="21">
        <f t="shared" ca="1" si="70"/>
        <v>13.535193857469368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7.5050624898926372</v>
      </c>
      <c r="C407" s="20">
        <f t="shared" ca="1" si="73"/>
        <v>13.848646206894388</v>
      </c>
      <c r="D407" s="21">
        <f t="shared" ca="1" si="70"/>
        <v>13.848646206894388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10.092762452307852</v>
      </c>
      <c r="C408" s="20">
        <f t="shared" ca="1" si="73"/>
        <v>9.8026809606232774</v>
      </c>
      <c r="D408" s="21">
        <f t="shared" ca="1" si="70"/>
        <v>9.8026809606232774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11.127813407573807</v>
      </c>
      <c r="C409" s="20">
        <f t="shared" ca="1" si="73"/>
        <v>8.4615169510977921</v>
      </c>
      <c r="D409" s="21">
        <f t="shared" ca="1" si="70"/>
        <v>8.4615169510977921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11.288709069327966</v>
      </c>
      <c r="C410" s="20">
        <f t="shared" ca="1" si="73"/>
        <v>13.270478769635242</v>
      </c>
      <c r="D410" s="21">
        <f t="shared" ca="1" si="70"/>
        <v>13.270478769635242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10.415383209901904</v>
      </c>
      <c r="C411" s="20">
        <f t="shared" ca="1" si="73"/>
        <v>6.7721571109559306</v>
      </c>
      <c r="D411" s="21">
        <f t="shared" ca="1" si="70"/>
        <v>6.7721571109559306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11.721350439654012</v>
      </c>
      <c r="C412" s="20">
        <f t="shared" ca="1" si="73"/>
        <v>8.4896098397639648</v>
      </c>
      <c r="D412" s="21">
        <f t="shared" ref="D412:G431" ca="1" si="75">IF(AND(ISNUMBER($D$1),$F$1&gt;0,ISNUMBER(D$11),D$11&lt;=$H$1),_xlfn.NORM.INV(RAND(),$D$1,SQRT($F$1)),"")</f>
        <v>8.4896098397639648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8.0988594687520266</v>
      </c>
      <c r="C413" s="20">
        <f t="shared" ca="1" si="73"/>
        <v>13.060417630063547</v>
      </c>
      <c r="D413" s="21">
        <f t="shared" ca="1" si="75"/>
        <v>13.060417630063547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10.419286723658807</v>
      </c>
      <c r="C414" s="20">
        <f t="shared" ca="1" si="73"/>
        <v>10.718453987177661</v>
      </c>
      <c r="D414" s="21">
        <f t="shared" ca="1" si="75"/>
        <v>10.718453987177661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10.174692261748893</v>
      </c>
      <c r="C415" s="20">
        <f t="shared" ca="1" si="73"/>
        <v>15.116143002928382</v>
      </c>
      <c r="D415" s="21">
        <f t="shared" ca="1" si="75"/>
        <v>15.116143002928382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7.9589074221252378</v>
      </c>
      <c r="C416" s="20">
        <f t="shared" ca="1" si="73"/>
        <v>10.065519715117585</v>
      </c>
      <c r="D416" s="21">
        <f t="shared" ca="1" si="75"/>
        <v>10.065519715117585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5.0044152846608787</v>
      </c>
      <c r="C417" s="20">
        <f t="shared" ca="1" si="73"/>
        <v>12.516206445220369</v>
      </c>
      <c r="D417" s="21">
        <f t="shared" ca="1" si="75"/>
        <v>12.516206445220369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8.0420594260894589</v>
      </c>
      <c r="C418" s="20">
        <f t="shared" ca="1" si="73"/>
        <v>9.1209799152787721</v>
      </c>
      <c r="D418" s="21">
        <f t="shared" ca="1" si="75"/>
        <v>9.1209799152787721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11.117161102283374</v>
      </c>
      <c r="C419" s="20">
        <f t="shared" ca="1" si="73"/>
        <v>9.8112434281126877</v>
      </c>
      <c r="D419" s="21">
        <f t="shared" ca="1" si="75"/>
        <v>9.8112434281126877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6.6606593255002133</v>
      </c>
      <c r="C420" s="20">
        <f t="shared" ca="1" si="73"/>
        <v>6.9045206809119932</v>
      </c>
      <c r="D420" s="21">
        <f t="shared" ca="1" si="75"/>
        <v>6.9045206809119932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11.171358914036059</v>
      </c>
      <c r="C421" s="20">
        <f t="shared" ca="1" si="73"/>
        <v>10.791965976970282</v>
      </c>
      <c r="D421" s="21">
        <f t="shared" ca="1" si="75"/>
        <v>10.791965976970282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6.0038161199932905</v>
      </c>
      <c r="C422" s="20">
        <f t="shared" ca="1" si="73"/>
        <v>8.1883805285483113</v>
      </c>
      <c r="D422" s="21">
        <f t="shared" ca="1" si="75"/>
        <v>8.1883805285483113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9.8149893337863876</v>
      </c>
      <c r="C423" s="20">
        <f t="shared" ca="1" si="73"/>
        <v>11.283362895578344</v>
      </c>
      <c r="D423" s="21">
        <f t="shared" ca="1" si="75"/>
        <v>11.283362895578344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12.066310298910279</v>
      </c>
      <c r="C424" s="20">
        <f t="shared" ca="1" si="73"/>
        <v>9.3988626529026735</v>
      </c>
      <c r="D424" s="21">
        <f t="shared" ca="1" si="75"/>
        <v>9.3988626529026735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9.1976289089868395</v>
      </c>
      <c r="C425" s="20">
        <f t="shared" ca="1" si="73"/>
        <v>10.355387219214723</v>
      </c>
      <c r="D425" s="21">
        <f t="shared" ca="1" si="75"/>
        <v>10.355387219214723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13.047963206668694</v>
      </c>
      <c r="C426" s="20">
        <f t="shared" ca="1" si="73"/>
        <v>9.2788202189588258</v>
      </c>
      <c r="D426" s="21">
        <f t="shared" ca="1" si="75"/>
        <v>9.2788202189588258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12.543367098369909</v>
      </c>
      <c r="C427" s="20">
        <f t="shared" ca="1" si="73"/>
        <v>9.3936291679566946</v>
      </c>
      <c r="D427" s="21">
        <f t="shared" ca="1" si="75"/>
        <v>9.3936291679566946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8.8721871080973003</v>
      </c>
      <c r="C428" s="20">
        <f t="shared" ca="1" si="73"/>
        <v>12.11976494611422</v>
      </c>
      <c r="D428" s="21">
        <f t="shared" ca="1" si="75"/>
        <v>12.11976494611422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8.0562265476516046</v>
      </c>
      <c r="C429" s="20">
        <f t="shared" ca="1" si="73"/>
        <v>11.643779697517568</v>
      </c>
      <c r="D429" s="21">
        <f t="shared" ca="1" si="75"/>
        <v>11.643779697517568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12.213103085681116</v>
      </c>
      <c r="C430" s="20">
        <f t="shared" ca="1" si="73"/>
        <v>10.996496399595546</v>
      </c>
      <c r="D430" s="21">
        <f t="shared" ca="1" si="75"/>
        <v>10.996496399595546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8.9474807575264936</v>
      </c>
      <c r="C431" s="20">
        <f t="shared" ca="1" si="73"/>
        <v>8.272109082883297</v>
      </c>
      <c r="D431" s="21">
        <f t="shared" ca="1" si="75"/>
        <v>8.272109082883297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10.806924313559524</v>
      </c>
      <c r="C432" s="20">
        <f t="shared" ca="1" si="73"/>
        <v>11.131562206101073</v>
      </c>
      <c r="D432" s="21">
        <f t="shared" ref="D432:G451" ca="1" si="78">IF(AND(ISNUMBER($D$1),$F$1&gt;0,ISNUMBER(D$11),D$11&lt;=$H$1),_xlfn.NORM.INV(RAND(),$D$1,SQRT($F$1)),"")</f>
        <v>11.131562206101073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9.8221833068979212</v>
      </c>
      <c r="C433" s="20">
        <f t="shared" ca="1" si="73"/>
        <v>12.717883896033918</v>
      </c>
      <c r="D433" s="21">
        <f t="shared" ca="1" si="78"/>
        <v>12.717883896033918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14.03974716407776</v>
      </c>
      <c r="C434" s="20">
        <f t="shared" ca="1" si="73"/>
        <v>12.19574116357316</v>
      </c>
      <c r="D434" s="21">
        <f t="shared" ca="1" si="78"/>
        <v>12.19574116357316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11.354242285942224</v>
      </c>
      <c r="C435" s="20">
        <f t="shared" ca="1" si="73"/>
        <v>9.6650064563660969</v>
      </c>
      <c r="D435" s="21">
        <f t="shared" ca="1" si="78"/>
        <v>9.6650064563660969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7.463922644931019</v>
      </c>
      <c r="C436" s="20">
        <f t="shared" ca="1" si="73"/>
        <v>9.4444049490386135</v>
      </c>
      <c r="D436" s="21">
        <f t="shared" ca="1" si="78"/>
        <v>9.4444049490386135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8.7869833709990388</v>
      </c>
      <c r="C437" s="20">
        <f t="shared" ca="1" si="73"/>
        <v>11.476447614444449</v>
      </c>
      <c r="D437" s="21">
        <f t="shared" ca="1" si="78"/>
        <v>11.476447614444449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11.006285229749359</v>
      </c>
      <c r="C438" s="20">
        <f t="shared" ca="1" si="73"/>
        <v>9.2231505118038015</v>
      </c>
      <c r="D438" s="21">
        <f t="shared" ca="1" si="78"/>
        <v>9.2231505118038015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14.123399843395106</v>
      </c>
      <c r="C439" s="20">
        <f t="shared" ca="1" si="73"/>
        <v>9.4403110252207263</v>
      </c>
      <c r="D439" s="21">
        <f t="shared" ca="1" si="78"/>
        <v>9.4403110252207263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11.656820368670541</v>
      </c>
      <c r="C440" s="20">
        <f t="shared" ca="1" si="73"/>
        <v>12.159160084446418</v>
      </c>
      <c r="D440" s="21">
        <f t="shared" ca="1" si="78"/>
        <v>12.159160084446418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6.3606281537926961</v>
      </c>
      <c r="C441" s="20">
        <f t="shared" ca="1" si="73"/>
        <v>10.266848595880964</v>
      </c>
      <c r="D441" s="21">
        <f t="shared" ca="1" si="78"/>
        <v>10.266848595880964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9.5037746812638204</v>
      </c>
      <c r="C442" s="20">
        <f t="shared" ca="1" si="73"/>
        <v>13.308430189372471</v>
      </c>
      <c r="D442" s="21">
        <f t="shared" ca="1" si="78"/>
        <v>13.308430189372471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9.7997079071162858</v>
      </c>
      <c r="C443" s="20">
        <f t="shared" ca="1" si="73"/>
        <v>11.256632784261171</v>
      </c>
      <c r="D443" s="21">
        <f t="shared" ca="1" si="78"/>
        <v>11.256632784261171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10.143284659582207</v>
      </c>
      <c r="C444" s="20">
        <f t="shared" ca="1" si="73"/>
        <v>10.380924059444544</v>
      </c>
      <c r="D444" s="21">
        <f t="shared" ca="1" si="78"/>
        <v>10.380924059444544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10.820361121470249</v>
      </c>
      <c r="C445" s="20">
        <f t="shared" ca="1" si="73"/>
        <v>11.921316776393802</v>
      </c>
      <c r="D445" s="21">
        <f t="shared" ca="1" si="78"/>
        <v>11.921316776393802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12.89482250669492</v>
      </c>
      <c r="C446" s="20">
        <f t="shared" ca="1" si="73"/>
        <v>10.44527993314936</v>
      </c>
      <c r="D446" s="21">
        <f t="shared" ca="1" si="78"/>
        <v>10.44527993314936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9.2069759274441729</v>
      </c>
      <c r="C447" s="20">
        <f t="shared" ca="1" si="73"/>
        <v>9.1883079711995688</v>
      </c>
      <c r="D447" s="21">
        <f t="shared" ca="1" si="78"/>
        <v>9.1883079711995688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8.0655260041331029</v>
      </c>
      <c r="C448" s="20">
        <f t="shared" ca="1" si="73"/>
        <v>9.4292116841470062</v>
      </c>
      <c r="D448" s="21">
        <f t="shared" ca="1" si="78"/>
        <v>9.4292116841470062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8.3557214293333821</v>
      </c>
      <c r="C449" s="20">
        <f t="shared" ca="1" si="73"/>
        <v>4.8177125079621295</v>
      </c>
      <c r="D449" s="21">
        <f t="shared" ca="1" si="78"/>
        <v>4.8177125079621295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10.011155209265546</v>
      </c>
      <c r="C450" s="20">
        <f t="shared" ca="1" si="73"/>
        <v>7.8591907158677223</v>
      </c>
      <c r="D450" s="21">
        <f t="shared" ca="1" si="78"/>
        <v>7.8591907158677223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8.173224780731994</v>
      </c>
      <c r="C451" s="20">
        <f t="shared" ca="1" si="73"/>
        <v>11.335876773692586</v>
      </c>
      <c r="D451" s="21">
        <f t="shared" ca="1" si="78"/>
        <v>11.335876773692586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8.9623054861924061</v>
      </c>
      <c r="C452" s="20">
        <f t="shared" ca="1" si="73"/>
        <v>11.680320686152498</v>
      </c>
      <c r="D452" s="21">
        <f t="shared" ref="D452:G471" ca="1" si="81">IF(AND(ISNUMBER($D$1),$F$1&gt;0,ISNUMBER(D$11),D$11&lt;=$H$1),_xlfn.NORM.INV(RAND(),$D$1,SQRT($F$1)),"")</f>
        <v>11.680320686152498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13.615811029862726</v>
      </c>
      <c r="C453" s="20">
        <f t="shared" ca="1" si="73"/>
        <v>10.404108107232954</v>
      </c>
      <c r="D453" s="21">
        <f t="shared" ca="1" si="81"/>
        <v>10.404108107232954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8.4159520620490156</v>
      </c>
      <c r="C454" s="20">
        <f t="shared" ca="1" si="73"/>
        <v>13.067294053154066</v>
      </c>
      <c r="D454" s="21">
        <f t="shared" ca="1" si="81"/>
        <v>13.067294053154066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8.6456466359415316</v>
      </c>
      <c r="C455" s="20">
        <f t="shared" ca="1" si="73"/>
        <v>11.228017465112302</v>
      </c>
      <c r="D455" s="21">
        <f t="shared" ca="1" si="81"/>
        <v>11.228017465112302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9.3503138217831019</v>
      </c>
      <c r="C456" s="20">
        <f t="shared" ca="1" si="73"/>
        <v>7.877064472048712</v>
      </c>
      <c r="D456" s="21">
        <f t="shared" ca="1" si="81"/>
        <v>7.877064472048712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11.349127427665479</v>
      </c>
      <c r="C457" s="20">
        <f t="shared" ca="1" si="73"/>
        <v>10.659295814494836</v>
      </c>
      <c r="D457" s="21">
        <f t="shared" ca="1" si="81"/>
        <v>10.659295814494836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9.063015649090751</v>
      </c>
      <c r="C458" s="20">
        <f t="shared" ca="1" si="73"/>
        <v>10.841495956428734</v>
      </c>
      <c r="D458" s="21">
        <f t="shared" ca="1" si="81"/>
        <v>10.841495956428734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13.069307581741889</v>
      </c>
      <c r="C459" s="20">
        <f t="shared" ca="1" si="73"/>
        <v>6.7056681725180542</v>
      </c>
      <c r="D459" s="21">
        <f t="shared" ca="1" si="81"/>
        <v>6.7056681725180542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10.300320602646419</v>
      </c>
      <c r="C460" s="20">
        <f t="shared" ca="1" si="73"/>
        <v>10.020762590383825</v>
      </c>
      <c r="D460" s="21">
        <f t="shared" ca="1" si="81"/>
        <v>10.020762590383825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10.374992041941992</v>
      </c>
      <c r="C461" s="20">
        <f t="shared" ref="C461:C524" ca="1" si="84">IF(AND($H$1&gt;=1,ISNUMBER(D461)),AVERAGE(D461:W461),"")</f>
        <v>6.402712179320984</v>
      </c>
      <c r="D461" s="21">
        <f t="shared" ca="1" si="81"/>
        <v>6.402712179320984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9.983920551378846</v>
      </c>
      <c r="C462" s="20">
        <f t="shared" ca="1" si="84"/>
        <v>10.237462606930869</v>
      </c>
      <c r="D462" s="21">
        <f t="shared" ca="1" si="81"/>
        <v>10.237462606930869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11.904025918481754</v>
      </c>
      <c r="C463" s="20">
        <f t="shared" ca="1" si="84"/>
        <v>10.270134612423991</v>
      </c>
      <c r="D463" s="21">
        <f t="shared" ca="1" si="81"/>
        <v>10.270134612423991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9.6723959561391695</v>
      </c>
      <c r="C464" s="20">
        <f t="shared" ca="1" si="84"/>
        <v>8.5476327868058597</v>
      </c>
      <c r="D464" s="21">
        <f t="shared" ca="1" si="81"/>
        <v>8.5476327868058597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9.0990337567350537</v>
      </c>
      <c r="C465" s="20">
        <f t="shared" ca="1" si="84"/>
        <v>10.232449074123405</v>
      </c>
      <c r="D465" s="21">
        <f t="shared" ca="1" si="81"/>
        <v>10.232449074123405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13.025961765295392</v>
      </c>
      <c r="C466" s="20">
        <f t="shared" ca="1" si="84"/>
        <v>8.605079383353349</v>
      </c>
      <c r="D466" s="21">
        <f t="shared" ca="1" si="81"/>
        <v>8.605079383353349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7.6576346511566076</v>
      </c>
      <c r="C467" s="20">
        <f t="shared" ca="1" si="84"/>
        <v>8.9646702978885831</v>
      </c>
      <c r="D467" s="21">
        <f t="shared" ca="1" si="81"/>
        <v>8.9646702978885831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13.573853021612518</v>
      </c>
      <c r="C468" s="20">
        <f t="shared" ca="1" si="84"/>
        <v>11.499926660026498</v>
      </c>
      <c r="D468" s="21">
        <f t="shared" ca="1" si="81"/>
        <v>11.499926660026498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9.5349890526861429</v>
      </c>
      <c r="C469" s="20">
        <f t="shared" ca="1" si="84"/>
        <v>7.8671780726936023</v>
      </c>
      <c r="D469" s="21">
        <f t="shared" ca="1" si="81"/>
        <v>7.8671780726936023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7.730249846041203</v>
      </c>
      <c r="C470" s="20">
        <f t="shared" ca="1" si="84"/>
        <v>11.564583470611909</v>
      </c>
      <c r="D470" s="21">
        <f t="shared" ca="1" si="81"/>
        <v>11.564583470611909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8.9500955370437953</v>
      </c>
      <c r="C471" s="20">
        <f t="shared" ca="1" si="84"/>
        <v>9.3166572973628394</v>
      </c>
      <c r="D471" s="21">
        <f t="shared" ca="1" si="81"/>
        <v>9.3166572973628394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11.063031513657954</v>
      </c>
      <c r="C472" s="20">
        <f t="shared" ca="1" si="84"/>
        <v>10.369658761111006</v>
      </c>
      <c r="D472" s="21">
        <f t="shared" ref="D472:G491" ca="1" si="86">IF(AND(ISNUMBER($D$1),$F$1&gt;0,ISNUMBER(D$11),D$11&lt;=$H$1),_xlfn.NORM.INV(RAND(),$D$1,SQRT($F$1)),"")</f>
        <v>10.369658761111006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11.726922009370053</v>
      </c>
      <c r="C473" s="20">
        <f t="shared" ca="1" si="84"/>
        <v>9.4692888466283485</v>
      </c>
      <c r="D473" s="21">
        <f t="shared" ca="1" si="86"/>
        <v>9.4692888466283485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11.419471491825469</v>
      </c>
      <c r="C474" s="20">
        <f t="shared" ca="1" si="84"/>
        <v>10.964617711747632</v>
      </c>
      <c r="D474" s="21">
        <f t="shared" ca="1" si="86"/>
        <v>10.964617711747632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8.9888640460972091</v>
      </c>
      <c r="C475" s="20">
        <f t="shared" ca="1" si="84"/>
        <v>8.3407548368985598</v>
      </c>
      <c r="D475" s="21">
        <f t="shared" ca="1" si="86"/>
        <v>8.3407548368985598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10.012009054388809</v>
      </c>
      <c r="C476" s="20">
        <f t="shared" ca="1" si="84"/>
        <v>9.6854496079819423</v>
      </c>
      <c r="D476" s="21">
        <f t="shared" ca="1" si="86"/>
        <v>9.6854496079819423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10.277080884656611</v>
      </c>
      <c r="C477" s="20">
        <f t="shared" ca="1" si="84"/>
        <v>12.686085652160445</v>
      </c>
      <c r="D477" s="21">
        <f t="shared" ca="1" si="86"/>
        <v>12.686085652160445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12.258971488191159</v>
      </c>
      <c r="C478" s="20">
        <f t="shared" ca="1" si="84"/>
        <v>11.483294800959772</v>
      </c>
      <c r="D478" s="21">
        <f t="shared" ca="1" si="86"/>
        <v>11.483294800959772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11.789460734247307</v>
      </c>
      <c r="C479" s="20">
        <f t="shared" ca="1" si="84"/>
        <v>10.175310880509498</v>
      </c>
      <c r="D479" s="21">
        <f t="shared" ca="1" si="86"/>
        <v>10.175310880509498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11.798952908101018</v>
      </c>
      <c r="C480" s="20">
        <f t="shared" ca="1" si="84"/>
        <v>9.875816247931045</v>
      </c>
      <c r="D480" s="21">
        <f t="shared" ca="1" si="86"/>
        <v>9.875816247931045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9.386149537406423</v>
      </c>
      <c r="C481" s="20">
        <f t="shared" ca="1" si="84"/>
        <v>13.823232075104954</v>
      </c>
      <c r="D481" s="21">
        <f t="shared" ca="1" si="86"/>
        <v>13.823232075104954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11.835220766394757</v>
      </c>
      <c r="C482" s="20">
        <f t="shared" ca="1" si="84"/>
        <v>12.267174286195358</v>
      </c>
      <c r="D482" s="21">
        <f t="shared" ca="1" si="86"/>
        <v>12.267174286195358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9.5442225688691416</v>
      </c>
      <c r="C483" s="20">
        <f t="shared" ca="1" si="84"/>
        <v>7.0899817080586862</v>
      </c>
      <c r="D483" s="21">
        <f t="shared" ca="1" si="86"/>
        <v>7.0899817080586862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10.811521903974286</v>
      </c>
      <c r="C484" s="20">
        <f t="shared" ca="1" si="84"/>
        <v>11.828496565462167</v>
      </c>
      <c r="D484" s="21">
        <f t="shared" ca="1" si="86"/>
        <v>11.828496565462167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11.334059136653272</v>
      </c>
      <c r="C485" s="20">
        <f t="shared" ca="1" si="84"/>
        <v>9.2358728852813936</v>
      </c>
      <c r="D485" s="21">
        <f t="shared" ca="1" si="86"/>
        <v>9.2358728852813936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10.362465147917751</v>
      </c>
      <c r="C486" s="20">
        <f t="shared" ca="1" si="84"/>
        <v>8.1495348956676761</v>
      </c>
      <c r="D486" s="21">
        <f t="shared" ca="1" si="86"/>
        <v>8.1495348956676761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9.901327086814284</v>
      </c>
      <c r="C487" s="20">
        <f t="shared" ca="1" si="84"/>
        <v>11.367376847129927</v>
      </c>
      <c r="D487" s="21">
        <f t="shared" ca="1" si="86"/>
        <v>11.367376847129927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10.836392872513535</v>
      </c>
      <c r="C488" s="20">
        <f t="shared" ca="1" si="84"/>
        <v>6.5938252568594855</v>
      </c>
      <c r="D488" s="21">
        <f t="shared" ca="1" si="86"/>
        <v>6.5938252568594855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6.8904514923190234</v>
      </c>
      <c r="C489" s="20">
        <f t="shared" ca="1" si="84"/>
        <v>12.776708216849309</v>
      </c>
      <c r="D489" s="21">
        <f t="shared" ca="1" si="86"/>
        <v>12.776708216849309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8.1951416034171025</v>
      </c>
      <c r="C490" s="20">
        <f t="shared" ca="1" si="84"/>
        <v>8.1783385578535768</v>
      </c>
      <c r="D490" s="21">
        <f t="shared" ca="1" si="86"/>
        <v>8.1783385578535768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13.420856844405774</v>
      </c>
      <c r="C491" s="20">
        <f t="shared" ca="1" si="84"/>
        <v>9.2060923163307251</v>
      </c>
      <c r="D491" s="21">
        <f t="shared" ca="1" si="86"/>
        <v>9.2060923163307251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7.1143095922084907</v>
      </c>
      <c r="C492" s="20">
        <f t="shared" ca="1" si="84"/>
        <v>11.93842447437329</v>
      </c>
      <c r="D492" s="21">
        <f t="shared" ref="D492:G511" ca="1" si="89">IF(AND(ISNUMBER($D$1),$F$1&gt;0,ISNUMBER(D$11),D$11&lt;=$H$1),_xlfn.NORM.INV(RAND(),$D$1,SQRT($F$1)),"")</f>
        <v>11.93842447437329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8.7709993033858566</v>
      </c>
      <c r="C493" s="20">
        <f t="shared" ca="1" si="84"/>
        <v>12.921030304047759</v>
      </c>
      <c r="D493" s="21">
        <f t="shared" ca="1" si="89"/>
        <v>12.921030304047759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11.584945368254685</v>
      </c>
      <c r="C494" s="20">
        <f t="shared" ca="1" si="84"/>
        <v>6.9685463293689542</v>
      </c>
      <c r="D494" s="21">
        <f t="shared" ca="1" si="89"/>
        <v>6.9685463293689542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9.3713639222402971</v>
      </c>
      <c r="C495" s="20">
        <f t="shared" ca="1" si="84"/>
        <v>10.792975107532879</v>
      </c>
      <c r="D495" s="21">
        <f t="shared" ca="1" si="89"/>
        <v>10.792975107532879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10.046108683110919</v>
      </c>
      <c r="C496" s="20">
        <f t="shared" ca="1" si="84"/>
        <v>10.741432236482675</v>
      </c>
      <c r="D496" s="21">
        <f t="shared" ca="1" si="89"/>
        <v>10.741432236482675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14.6924018352377</v>
      </c>
      <c r="C497" s="20">
        <f t="shared" ca="1" si="84"/>
        <v>12.302076708787551</v>
      </c>
      <c r="D497" s="21">
        <f t="shared" ca="1" si="89"/>
        <v>12.302076708787551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11.355601516648262</v>
      </c>
      <c r="C498" s="20">
        <f t="shared" ca="1" si="84"/>
        <v>9.7938789980420946</v>
      </c>
      <c r="D498" s="21">
        <f t="shared" ca="1" si="89"/>
        <v>9.7938789980420946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10.694526533024119</v>
      </c>
      <c r="C499" s="20">
        <f t="shared" ca="1" si="84"/>
        <v>5.5199599512856548</v>
      </c>
      <c r="D499" s="21">
        <f t="shared" ca="1" si="89"/>
        <v>5.5199599512856548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9.2644895326193986</v>
      </c>
      <c r="C500" s="20">
        <f t="shared" ca="1" si="84"/>
        <v>7.3603433786154664</v>
      </c>
      <c r="D500" s="21">
        <f t="shared" ca="1" si="89"/>
        <v>7.3603433786154664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6.5974523590599379</v>
      </c>
      <c r="C501" s="20">
        <f t="shared" ca="1" si="84"/>
        <v>11.18247095183076</v>
      </c>
      <c r="D501" s="21">
        <f t="shared" ca="1" si="89"/>
        <v>11.18247095183076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8.8937176833900846</v>
      </c>
      <c r="C502" s="20">
        <f t="shared" ca="1" si="84"/>
        <v>11.395078601118755</v>
      </c>
      <c r="D502" s="21">
        <f t="shared" ca="1" si="89"/>
        <v>11.395078601118755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10.716845836019507</v>
      </c>
      <c r="C503" s="20">
        <f t="shared" ca="1" si="84"/>
        <v>11.706836514728639</v>
      </c>
      <c r="D503" s="21">
        <f t="shared" ca="1" si="89"/>
        <v>11.706836514728639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12.064892630831073</v>
      </c>
      <c r="C504" s="20">
        <f t="shared" ca="1" si="84"/>
        <v>9.3305367034682014</v>
      </c>
      <c r="D504" s="21">
        <f t="shared" ca="1" si="89"/>
        <v>9.3305367034682014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10.711688864395652</v>
      </c>
      <c r="C505" s="20">
        <f t="shared" ca="1" si="84"/>
        <v>11.549336949912483</v>
      </c>
      <c r="D505" s="21">
        <f t="shared" ca="1" si="89"/>
        <v>11.549336949912483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11.63478304115284</v>
      </c>
      <c r="C506" s="20">
        <f t="shared" ca="1" si="84"/>
        <v>10.866086521143634</v>
      </c>
      <c r="D506" s="21">
        <f t="shared" ca="1" si="89"/>
        <v>10.866086521143634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12.83598733490537</v>
      </c>
      <c r="C507" s="20">
        <f t="shared" ca="1" si="84"/>
        <v>9.5455318792202082</v>
      </c>
      <c r="D507" s="21">
        <f t="shared" ca="1" si="89"/>
        <v>9.5455318792202082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12.06845838143497</v>
      </c>
      <c r="C508" s="20">
        <f t="shared" ca="1" si="84"/>
        <v>8.6388705931169518</v>
      </c>
      <c r="D508" s="21">
        <f t="shared" ca="1" si="89"/>
        <v>8.6388705931169518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11.488884089497482</v>
      </c>
      <c r="C509" s="20">
        <f t="shared" ca="1" si="84"/>
        <v>11.254740734599094</v>
      </c>
      <c r="D509" s="21">
        <f t="shared" ca="1" si="89"/>
        <v>11.254740734599094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12.297401692101896</v>
      </c>
      <c r="C510" s="20">
        <f t="shared" ca="1" si="84"/>
        <v>6.4451727795039506</v>
      </c>
      <c r="D510" s="21">
        <f t="shared" ca="1" si="89"/>
        <v>6.4451727795039506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10.893993649472932</v>
      </c>
      <c r="C511" s="20">
        <f t="shared" ca="1" si="84"/>
        <v>11.110648415588473</v>
      </c>
      <c r="D511" s="21">
        <f t="shared" ca="1" si="89"/>
        <v>11.110648415588473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8.4127744852306741</v>
      </c>
      <c r="C512" s="20">
        <f t="shared" ca="1" si="84"/>
        <v>8.1858781813177792</v>
      </c>
      <c r="D512" s="21">
        <f t="shared" ref="D512:G531" ca="1" si="92">IF(AND(ISNUMBER($D$1),$F$1&gt;0,ISNUMBER(D$11),D$11&lt;=$H$1),_xlfn.NORM.INV(RAND(),$D$1,SQRT($F$1)),"")</f>
        <v>8.1858781813177792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12.314270716810451</v>
      </c>
      <c r="C513" s="20">
        <f t="shared" ca="1" si="84"/>
        <v>7.900687463719076</v>
      </c>
      <c r="D513" s="21">
        <f t="shared" ca="1" si="92"/>
        <v>7.900687463719076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8.502728031153783</v>
      </c>
      <c r="C514" s="20">
        <f t="shared" ca="1" si="84"/>
        <v>14.865312410125362</v>
      </c>
      <c r="D514" s="21">
        <f t="shared" ca="1" si="92"/>
        <v>14.865312410125362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8.6347781171384224</v>
      </c>
      <c r="C515" s="20">
        <f t="shared" ca="1" si="84"/>
        <v>12.33526356658216</v>
      </c>
      <c r="D515" s="21">
        <f t="shared" ca="1" si="92"/>
        <v>12.33526356658216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10.304682939476065</v>
      </c>
      <c r="C516" s="20">
        <f t="shared" ca="1" si="84"/>
        <v>11.076796574675264</v>
      </c>
      <c r="D516" s="21">
        <f t="shared" ca="1" si="92"/>
        <v>11.076796574675264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9.6149099238322275</v>
      </c>
      <c r="C517" s="20">
        <f t="shared" ca="1" si="84"/>
        <v>9.1531854162326702</v>
      </c>
      <c r="D517" s="21">
        <f t="shared" ca="1" si="92"/>
        <v>9.1531854162326702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9.4846047646434002</v>
      </c>
      <c r="C518" s="20">
        <f t="shared" ca="1" si="84"/>
        <v>11.192161888816184</v>
      </c>
      <c r="D518" s="21">
        <f t="shared" ca="1" si="92"/>
        <v>11.192161888816184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11.2622967232509</v>
      </c>
      <c r="C519" s="20">
        <f t="shared" ca="1" si="84"/>
        <v>9.0619542206192119</v>
      </c>
      <c r="D519" s="21">
        <f t="shared" ca="1" si="92"/>
        <v>9.0619542206192119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10.447900602943109</v>
      </c>
      <c r="C520" s="20">
        <f t="shared" ca="1" si="84"/>
        <v>11.886815989921457</v>
      </c>
      <c r="D520" s="21">
        <f t="shared" ca="1" si="92"/>
        <v>11.886815989921457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9.1489306902396788</v>
      </c>
      <c r="C521" s="20">
        <f t="shared" ca="1" si="84"/>
        <v>7.4785523067954287</v>
      </c>
      <c r="D521" s="21">
        <f t="shared" ca="1" si="92"/>
        <v>7.4785523067954287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8.44729291469495</v>
      </c>
      <c r="C522" s="20">
        <f t="shared" ca="1" si="84"/>
        <v>13.379801741896772</v>
      </c>
      <c r="D522" s="21">
        <f t="shared" ca="1" si="92"/>
        <v>13.379801741896772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11.324379712517027</v>
      </c>
      <c r="C523" s="20">
        <f t="shared" ca="1" si="84"/>
        <v>12.055174569910479</v>
      </c>
      <c r="D523" s="21">
        <f t="shared" ca="1" si="92"/>
        <v>12.055174569910479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12.7276489535179</v>
      </c>
      <c r="C524" s="20">
        <f t="shared" ca="1" si="84"/>
        <v>6.5339133999351819</v>
      </c>
      <c r="D524" s="21">
        <f t="shared" ca="1" si="92"/>
        <v>6.5339133999351819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8.7540875774346105</v>
      </c>
      <c r="C525" s="20">
        <f t="shared" ref="C525:C588" ca="1" si="96">IF(AND($H$1&gt;=1,ISNUMBER(D525)),AVERAGE(D525:W525),"")</f>
        <v>13.002627561527591</v>
      </c>
      <c r="D525" s="21">
        <f t="shared" ca="1" si="92"/>
        <v>13.002627561527591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8.7782137621623733</v>
      </c>
      <c r="C526" s="20">
        <f t="shared" ca="1" si="96"/>
        <v>11.386254561680367</v>
      </c>
      <c r="D526" s="21">
        <f t="shared" ca="1" si="92"/>
        <v>11.386254561680367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12.834628505933955</v>
      </c>
      <c r="C527" s="20">
        <f t="shared" ca="1" si="96"/>
        <v>11.042078351727502</v>
      </c>
      <c r="D527" s="21">
        <f t="shared" ca="1" si="92"/>
        <v>11.042078351727502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9.4301658480222841</v>
      </c>
      <c r="C528" s="20">
        <f t="shared" ca="1" si="96"/>
        <v>6.5686833324660139</v>
      </c>
      <c r="D528" s="21">
        <f t="shared" ca="1" si="92"/>
        <v>6.5686833324660139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11.39011861151376</v>
      </c>
      <c r="C529" s="20">
        <f t="shared" ca="1" si="96"/>
        <v>10.706370698405529</v>
      </c>
      <c r="D529" s="21">
        <f t="shared" ca="1" si="92"/>
        <v>10.706370698405529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9.3442628419655591</v>
      </c>
      <c r="C530" s="20">
        <f t="shared" ca="1" si="96"/>
        <v>8.0062124048145229</v>
      </c>
      <c r="D530" s="21">
        <f t="shared" ca="1" si="92"/>
        <v>8.0062124048145229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7.9803084631191625</v>
      </c>
      <c r="C531" s="20">
        <f t="shared" ca="1" si="96"/>
        <v>10.610971299499798</v>
      </c>
      <c r="D531" s="21">
        <f t="shared" ca="1" si="92"/>
        <v>10.610971299499798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7.4000451014018207</v>
      </c>
      <c r="C532" s="20">
        <f t="shared" ca="1" si="96"/>
        <v>9.529358241163111</v>
      </c>
      <c r="D532" s="21">
        <f t="shared" ref="D532:G551" ca="1" si="97">IF(AND(ISNUMBER($D$1),$F$1&gt;0,ISNUMBER(D$11),D$11&lt;=$H$1),_xlfn.NORM.INV(RAND(),$D$1,SQRT($F$1)),"")</f>
        <v>9.529358241163111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9.2941447459243811</v>
      </c>
      <c r="C533" s="20">
        <f t="shared" ca="1" si="96"/>
        <v>12.956205815571705</v>
      </c>
      <c r="D533" s="21">
        <f t="shared" ca="1" si="97"/>
        <v>12.956205815571705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13.506329136622202</v>
      </c>
      <c r="C534" s="20">
        <f t="shared" ca="1" si="96"/>
        <v>10.751593582103048</v>
      </c>
      <c r="D534" s="21">
        <f t="shared" ca="1" si="97"/>
        <v>10.751593582103048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13.088483041808601</v>
      </c>
      <c r="C535" s="20">
        <f t="shared" ca="1" si="96"/>
        <v>7.8364187053985681</v>
      </c>
      <c r="D535" s="21">
        <f t="shared" ca="1" si="97"/>
        <v>7.8364187053985681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9.0778808525284216</v>
      </c>
      <c r="C536" s="20">
        <f t="shared" ca="1" si="96"/>
        <v>10.446360419847531</v>
      </c>
      <c r="D536" s="21">
        <f t="shared" ca="1" si="97"/>
        <v>10.446360419847531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7.4807071554843461</v>
      </c>
      <c r="C537" s="20">
        <f t="shared" ca="1" si="96"/>
        <v>11.468582916430188</v>
      </c>
      <c r="D537" s="21">
        <f t="shared" ca="1" si="97"/>
        <v>11.468582916430188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12.495283455800285</v>
      </c>
      <c r="C538" s="20">
        <f t="shared" ca="1" si="96"/>
        <v>9.3425990292998407</v>
      </c>
      <c r="D538" s="21">
        <f t="shared" ca="1" si="97"/>
        <v>9.3425990292998407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10.177266954277634</v>
      </c>
      <c r="C539" s="20">
        <f t="shared" ca="1" si="96"/>
        <v>11.900909236928566</v>
      </c>
      <c r="D539" s="21">
        <f t="shared" ca="1" si="97"/>
        <v>11.900909236928566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9.6535294590686576</v>
      </c>
      <c r="C540" s="20">
        <f t="shared" ca="1" si="96"/>
        <v>8.4071569212138169</v>
      </c>
      <c r="D540" s="21">
        <f t="shared" ca="1" si="97"/>
        <v>8.4071569212138169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8.8002588589095936</v>
      </c>
      <c r="C541" s="20">
        <f t="shared" ca="1" si="96"/>
        <v>7.6769339901171776</v>
      </c>
      <c r="D541" s="21">
        <f t="shared" ca="1" si="97"/>
        <v>7.6769339901171776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11.769996119718421</v>
      </c>
      <c r="C542" s="20">
        <f t="shared" ca="1" si="96"/>
        <v>8.9165534459551505</v>
      </c>
      <c r="D542" s="21">
        <f t="shared" ca="1" si="97"/>
        <v>8.9165534459551505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10.650439078453839</v>
      </c>
      <c r="C543" s="20">
        <f t="shared" ca="1" si="96"/>
        <v>8.8129535939066841</v>
      </c>
      <c r="D543" s="21">
        <f t="shared" ca="1" si="97"/>
        <v>8.8129535939066841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11.37729125854433</v>
      </c>
      <c r="C544" s="20">
        <f t="shared" ca="1" si="96"/>
        <v>7.3969839982381629</v>
      </c>
      <c r="D544" s="21">
        <f t="shared" ca="1" si="97"/>
        <v>7.3969839982381629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8.8835656290319136</v>
      </c>
      <c r="C545" s="20">
        <f t="shared" ca="1" si="96"/>
        <v>7.3778861133199882</v>
      </c>
      <c r="D545" s="21">
        <f t="shared" ca="1" si="97"/>
        <v>7.3778861133199882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13.906930947343666</v>
      </c>
      <c r="C546" s="20">
        <f t="shared" ca="1" si="96"/>
        <v>10.622829785420105</v>
      </c>
      <c r="D546" s="21">
        <f t="shared" ca="1" si="97"/>
        <v>10.622829785420105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8.6889834491302569</v>
      </c>
      <c r="C547" s="20">
        <f t="shared" ca="1" si="96"/>
        <v>10.843643119645717</v>
      </c>
      <c r="D547" s="21">
        <f t="shared" ca="1" si="97"/>
        <v>10.843643119645717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8.1007986683771733</v>
      </c>
      <c r="C548" s="20">
        <f t="shared" ca="1" si="96"/>
        <v>11.418862852880851</v>
      </c>
      <c r="D548" s="21">
        <f t="shared" ca="1" si="97"/>
        <v>11.418862852880851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8.1797583380352652</v>
      </c>
      <c r="C549" s="20">
        <f t="shared" ca="1" si="96"/>
        <v>9.9509551735438855</v>
      </c>
      <c r="D549" s="21">
        <f t="shared" ca="1" si="97"/>
        <v>9.9509551735438855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11.217261690019264</v>
      </c>
      <c r="C550" s="20">
        <f t="shared" ca="1" si="96"/>
        <v>9.9906436226234128</v>
      </c>
      <c r="D550" s="21">
        <f t="shared" ca="1" si="97"/>
        <v>9.9906436226234128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9.6303166431596168</v>
      </c>
      <c r="C551" s="20">
        <f t="shared" ca="1" si="96"/>
        <v>10.93612890439004</v>
      </c>
      <c r="D551" s="21">
        <f t="shared" ca="1" si="97"/>
        <v>10.93612890439004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13.479944667271267</v>
      </c>
      <c r="C552" s="20">
        <f t="shared" ca="1" si="96"/>
        <v>12.27888655848982</v>
      </c>
      <c r="D552" s="21">
        <f t="shared" ref="D552:G571" ca="1" si="100">IF(AND(ISNUMBER($D$1),$F$1&gt;0,ISNUMBER(D$11),D$11&lt;=$H$1),_xlfn.NORM.INV(RAND(),$D$1,SQRT($F$1)),"")</f>
        <v>12.27888655848982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11.729663813244226</v>
      </c>
      <c r="C553" s="20">
        <f t="shared" ca="1" si="96"/>
        <v>7.4351733625534688</v>
      </c>
      <c r="D553" s="21">
        <f t="shared" ca="1" si="100"/>
        <v>7.4351733625534688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8.8089203260997095</v>
      </c>
      <c r="C554" s="20">
        <f t="shared" ca="1" si="96"/>
        <v>5.5168176844275436</v>
      </c>
      <c r="D554" s="21">
        <f t="shared" ca="1" si="100"/>
        <v>5.5168176844275436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13.463388318998593</v>
      </c>
      <c r="C555" s="20">
        <f t="shared" ca="1" si="96"/>
        <v>6.7767393752886003</v>
      </c>
      <c r="D555" s="21">
        <f t="shared" ca="1" si="100"/>
        <v>6.7767393752886003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12.468835495551692</v>
      </c>
      <c r="C556" s="20">
        <f t="shared" ca="1" si="96"/>
        <v>10.966852776150542</v>
      </c>
      <c r="D556" s="21">
        <f t="shared" ca="1" si="100"/>
        <v>10.966852776150542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8.5572974988790982</v>
      </c>
      <c r="C557" s="20">
        <f t="shared" ca="1" si="96"/>
        <v>10.837662384232882</v>
      </c>
      <c r="D557" s="21">
        <f t="shared" ca="1" si="100"/>
        <v>10.837662384232882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12.003696491983726</v>
      </c>
      <c r="C558" s="20">
        <f t="shared" ca="1" si="96"/>
        <v>10.700827030797678</v>
      </c>
      <c r="D558" s="21">
        <f t="shared" ca="1" si="100"/>
        <v>10.700827030797678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6.9441912879903587</v>
      </c>
      <c r="C559" s="20">
        <f t="shared" ca="1" si="96"/>
        <v>11.591178656600466</v>
      </c>
      <c r="D559" s="21">
        <f t="shared" ca="1" si="100"/>
        <v>11.591178656600466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11.964064133032803</v>
      </c>
      <c r="C560" s="20">
        <f t="shared" ca="1" si="96"/>
        <v>8.0340267394281444</v>
      </c>
      <c r="D560" s="21">
        <f t="shared" ca="1" si="100"/>
        <v>8.0340267394281444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8.6455706840818838</v>
      </c>
      <c r="C561" s="20">
        <f t="shared" ca="1" si="96"/>
        <v>9.2189049346598928</v>
      </c>
      <c r="D561" s="21">
        <f t="shared" ca="1" si="100"/>
        <v>9.2189049346598928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11.088313130551754</v>
      </c>
      <c r="C562" s="20">
        <f t="shared" ca="1" si="96"/>
        <v>14.373455894844922</v>
      </c>
      <c r="D562" s="21">
        <f t="shared" ca="1" si="100"/>
        <v>14.373455894844922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10.145586100663287</v>
      </c>
      <c r="C563" s="20">
        <f t="shared" ca="1" si="96"/>
        <v>9.9066748946910277</v>
      </c>
      <c r="D563" s="21">
        <f t="shared" ca="1" si="100"/>
        <v>9.9066748946910277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10.448578352608823</v>
      </c>
      <c r="C564" s="20">
        <f t="shared" ca="1" si="96"/>
        <v>11.760278040586181</v>
      </c>
      <c r="D564" s="21">
        <f t="shared" ca="1" si="100"/>
        <v>11.760278040586181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8.1191821250215739</v>
      </c>
      <c r="C565" s="20">
        <f t="shared" ca="1" si="96"/>
        <v>7.7657598907613981</v>
      </c>
      <c r="D565" s="21">
        <f t="shared" ca="1" si="100"/>
        <v>7.7657598907613981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10.699169397215268</v>
      </c>
      <c r="C566" s="20">
        <f t="shared" ca="1" si="96"/>
        <v>7.1441981396882737</v>
      </c>
      <c r="D566" s="21">
        <f t="shared" ca="1" si="100"/>
        <v>7.1441981396882737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12.048400066329627</v>
      </c>
      <c r="C567" s="20">
        <f t="shared" ca="1" si="96"/>
        <v>10.749501346890915</v>
      </c>
      <c r="D567" s="21">
        <f t="shared" ca="1" si="100"/>
        <v>10.749501346890915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7.8222785287102781</v>
      </c>
      <c r="C568" s="20">
        <f t="shared" ca="1" si="96"/>
        <v>9.562262332469956</v>
      </c>
      <c r="D568" s="21">
        <f t="shared" ca="1" si="100"/>
        <v>9.562262332469956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9.682620436127932</v>
      </c>
      <c r="C569" s="20">
        <f t="shared" ca="1" si="96"/>
        <v>12.301721164017533</v>
      </c>
      <c r="D569" s="21">
        <f t="shared" ca="1" si="100"/>
        <v>12.301721164017533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13.704946539173381</v>
      </c>
      <c r="C570" s="20">
        <f t="shared" ca="1" si="96"/>
        <v>12.292829601887526</v>
      </c>
      <c r="D570" s="21">
        <f t="shared" ca="1" si="100"/>
        <v>12.292829601887526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9.1273622890217041</v>
      </c>
      <c r="C571" s="20">
        <f t="shared" ca="1" si="96"/>
        <v>8.7631946959329809</v>
      </c>
      <c r="D571" s="21">
        <f t="shared" ca="1" si="100"/>
        <v>8.7631946959329809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9.9589460674504551</v>
      </c>
      <c r="C572" s="20">
        <f t="shared" ca="1" si="96"/>
        <v>12.099786669051669</v>
      </c>
      <c r="D572" s="21">
        <f t="shared" ref="D572:G591" ca="1" si="103">IF(AND(ISNUMBER($D$1),$F$1&gt;0,ISNUMBER(D$11),D$11&lt;=$H$1),_xlfn.NORM.INV(RAND(),$D$1,SQRT($F$1)),"")</f>
        <v>12.099786669051669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11.130385045687479</v>
      </c>
      <c r="C573" s="20">
        <f t="shared" ca="1" si="96"/>
        <v>9.0483317067104423</v>
      </c>
      <c r="D573" s="21">
        <f t="shared" ca="1" si="103"/>
        <v>9.0483317067104423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9.0843271750707686</v>
      </c>
      <c r="C574" s="20">
        <f t="shared" ca="1" si="96"/>
        <v>8.7780615578892558</v>
      </c>
      <c r="D574" s="21">
        <f t="shared" ca="1" si="103"/>
        <v>8.7780615578892558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12.749846315806188</v>
      </c>
      <c r="C575" s="20">
        <f t="shared" ca="1" si="96"/>
        <v>6.8992619038760221</v>
      </c>
      <c r="D575" s="21">
        <f t="shared" ca="1" si="103"/>
        <v>6.8992619038760221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11.903027123399655</v>
      </c>
      <c r="C576" s="20">
        <f t="shared" ca="1" si="96"/>
        <v>12.733138719486819</v>
      </c>
      <c r="D576" s="21">
        <f t="shared" ca="1" si="103"/>
        <v>12.733138719486819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11.394927556083251</v>
      </c>
      <c r="C577" s="20">
        <f t="shared" ca="1" si="96"/>
        <v>8.6550622423605112</v>
      </c>
      <c r="D577" s="21">
        <f t="shared" ca="1" si="103"/>
        <v>8.6550622423605112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8.6969661104688125</v>
      </c>
      <c r="C578" s="20">
        <f t="shared" ca="1" si="96"/>
        <v>10.706923893666211</v>
      </c>
      <c r="D578" s="21">
        <f t="shared" ca="1" si="103"/>
        <v>10.706923893666211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10.675221777797454</v>
      </c>
      <c r="C579" s="20">
        <f t="shared" ca="1" si="96"/>
        <v>9.7030718592750471</v>
      </c>
      <c r="D579" s="21">
        <f t="shared" ca="1" si="103"/>
        <v>9.7030718592750471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8.3441737131282974</v>
      </c>
      <c r="C580" s="20">
        <f t="shared" ca="1" si="96"/>
        <v>12.432808327493738</v>
      </c>
      <c r="D580" s="21">
        <f t="shared" ca="1" si="103"/>
        <v>12.432808327493738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8.9677640333578026</v>
      </c>
      <c r="C581" s="20">
        <f t="shared" ca="1" si="96"/>
        <v>11.316767291389848</v>
      </c>
      <c r="D581" s="21">
        <f t="shared" ca="1" si="103"/>
        <v>11.316767291389848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9.9104848076709917</v>
      </c>
      <c r="C582" s="20">
        <f t="shared" ca="1" si="96"/>
        <v>8.1433339347617846</v>
      </c>
      <c r="D582" s="21">
        <f t="shared" ca="1" si="103"/>
        <v>8.1433339347617846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5.7909820688529399</v>
      </c>
      <c r="C583" s="20">
        <f t="shared" ca="1" si="96"/>
        <v>7.4274079930449206</v>
      </c>
      <c r="D583" s="21">
        <f t="shared" ca="1" si="103"/>
        <v>7.4274079930449206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9.239692115622546</v>
      </c>
      <c r="C584" s="20">
        <f t="shared" ca="1" si="96"/>
        <v>8.3905570691789464</v>
      </c>
      <c r="D584" s="21">
        <f t="shared" ca="1" si="103"/>
        <v>8.3905570691789464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8.3660757824819179</v>
      </c>
      <c r="C585" s="20">
        <f t="shared" ca="1" si="96"/>
        <v>12.286157921618026</v>
      </c>
      <c r="D585" s="21">
        <f t="shared" ca="1" si="103"/>
        <v>12.286157921618026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11.063996591586641</v>
      </c>
      <c r="C586" s="20">
        <f t="shared" ca="1" si="96"/>
        <v>8.0651156651418336</v>
      </c>
      <c r="D586" s="21">
        <f t="shared" ca="1" si="103"/>
        <v>8.0651156651418336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7.585550248487146</v>
      </c>
      <c r="C587" s="20">
        <f t="shared" ca="1" si="96"/>
        <v>9.5806575257124464</v>
      </c>
      <c r="D587" s="21">
        <f t="shared" ca="1" si="103"/>
        <v>9.5806575257124464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11.18000049076479</v>
      </c>
      <c r="C588" s="20">
        <f t="shared" ca="1" si="96"/>
        <v>7.2705037850481737</v>
      </c>
      <c r="D588" s="21">
        <f t="shared" ca="1" si="103"/>
        <v>7.2705037850481737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11.841718956797793</v>
      </c>
      <c r="C589" s="20">
        <f t="shared" ref="C589:C652" ca="1" si="107">IF(AND($H$1&gt;=1,ISNUMBER(D589)),AVERAGE(D589:W589),"")</f>
        <v>8.9807564439292342</v>
      </c>
      <c r="D589" s="21">
        <f t="shared" ca="1" si="103"/>
        <v>8.9807564439292342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9.1579857061821635</v>
      </c>
      <c r="C590" s="20">
        <f t="shared" ca="1" si="107"/>
        <v>14.040742933438857</v>
      </c>
      <c r="D590" s="21">
        <f t="shared" ca="1" si="103"/>
        <v>14.040742933438857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8.7671865465498904</v>
      </c>
      <c r="C591" s="20">
        <f t="shared" ca="1" si="107"/>
        <v>10.281237899208959</v>
      </c>
      <c r="D591" s="21">
        <f t="shared" ca="1" si="103"/>
        <v>10.281237899208959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9.0841029342245001</v>
      </c>
      <c r="C592" s="20">
        <f t="shared" ca="1" si="107"/>
        <v>8.7718986425475958</v>
      </c>
      <c r="D592" s="21">
        <f t="shared" ref="D592:G611" ca="1" si="108">IF(AND(ISNUMBER($D$1),$F$1&gt;0,ISNUMBER(D$11),D$11&lt;=$H$1),_xlfn.NORM.INV(RAND(),$D$1,SQRT($F$1)),"")</f>
        <v>8.7718986425475958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15.646553730937436</v>
      </c>
      <c r="C593" s="20">
        <f t="shared" ca="1" si="107"/>
        <v>9.1774393418805271</v>
      </c>
      <c r="D593" s="21">
        <f t="shared" ca="1" si="108"/>
        <v>9.1774393418805271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7.6137498218703463</v>
      </c>
      <c r="C594" s="20">
        <f t="shared" ca="1" si="107"/>
        <v>10.69748320469348</v>
      </c>
      <c r="D594" s="21">
        <f t="shared" ca="1" si="108"/>
        <v>10.69748320469348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9.9166201647704373</v>
      </c>
      <c r="C595" s="20">
        <f t="shared" ca="1" si="107"/>
        <v>8.9025748431313989</v>
      </c>
      <c r="D595" s="21">
        <f t="shared" ca="1" si="108"/>
        <v>8.9025748431313989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10.417673803340179</v>
      </c>
      <c r="C596" s="20">
        <f t="shared" ca="1" si="107"/>
        <v>11.819852958242771</v>
      </c>
      <c r="D596" s="21">
        <f t="shared" ca="1" si="108"/>
        <v>11.819852958242771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11.061411906484437</v>
      </c>
      <c r="C597" s="20">
        <f t="shared" ca="1" si="107"/>
        <v>14.430665845492829</v>
      </c>
      <c r="D597" s="21">
        <f t="shared" ca="1" si="108"/>
        <v>14.430665845492829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12.415962924808371</v>
      </c>
      <c r="C598" s="20">
        <f t="shared" ca="1" si="107"/>
        <v>11.562417610475469</v>
      </c>
      <c r="D598" s="21">
        <f t="shared" ca="1" si="108"/>
        <v>11.562417610475469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11.493583153772722</v>
      </c>
      <c r="C599" s="20">
        <f t="shared" ca="1" si="107"/>
        <v>9.4854231238195581</v>
      </c>
      <c r="D599" s="21">
        <f t="shared" ca="1" si="108"/>
        <v>9.4854231238195581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8.4688373806504469</v>
      </c>
      <c r="C600" s="20">
        <f t="shared" ca="1" si="107"/>
        <v>12.964255877088853</v>
      </c>
      <c r="D600" s="21">
        <f t="shared" ca="1" si="108"/>
        <v>12.964255877088853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7.0860135015776144</v>
      </c>
      <c r="C601" s="20">
        <f t="shared" ca="1" si="107"/>
        <v>8.6582102942918802</v>
      </c>
      <c r="D601" s="21">
        <f t="shared" ca="1" si="108"/>
        <v>8.6582102942918802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11.171628993995936</v>
      </c>
      <c r="C602" s="20">
        <f t="shared" ca="1" si="107"/>
        <v>11.982056317589322</v>
      </c>
      <c r="D602" s="21">
        <f t="shared" ca="1" si="108"/>
        <v>11.982056317589322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12.44837051236809</v>
      </c>
      <c r="C603" s="20">
        <f t="shared" ca="1" si="107"/>
        <v>11.21677547270555</v>
      </c>
      <c r="D603" s="21">
        <f t="shared" ca="1" si="108"/>
        <v>11.21677547270555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12.417446600724357</v>
      </c>
      <c r="C604" s="20">
        <f t="shared" ca="1" si="107"/>
        <v>7.3336984940962981</v>
      </c>
      <c r="D604" s="21">
        <f t="shared" ca="1" si="108"/>
        <v>7.3336984940962981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9.6251853004909016</v>
      </c>
      <c r="C605" s="20">
        <f t="shared" ca="1" si="107"/>
        <v>5.1436468384736251</v>
      </c>
      <c r="D605" s="21">
        <f t="shared" ca="1" si="108"/>
        <v>5.1436468384736251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11.315357567704782</v>
      </c>
      <c r="C606" s="20">
        <f t="shared" ca="1" si="107"/>
        <v>8.6153873665128771</v>
      </c>
      <c r="D606" s="21">
        <f t="shared" ca="1" si="108"/>
        <v>8.6153873665128771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8.7845921203899699</v>
      </c>
      <c r="C607" s="20">
        <f t="shared" ca="1" si="107"/>
        <v>10.36955447184217</v>
      </c>
      <c r="D607" s="21">
        <f t="shared" ca="1" si="108"/>
        <v>10.36955447184217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12.129687846846176</v>
      </c>
      <c r="C608" s="20">
        <f t="shared" ca="1" si="107"/>
        <v>11.599040012492125</v>
      </c>
      <c r="D608" s="21">
        <f t="shared" ca="1" si="108"/>
        <v>11.599040012492125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12.018378271965807</v>
      </c>
      <c r="C609" s="20">
        <f t="shared" ca="1" si="107"/>
        <v>12.188247113226829</v>
      </c>
      <c r="D609" s="21">
        <f t="shared" ca="1" si="108"/>
        <v>12.188247113226829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10.452067971332863</v>
      </c>
      <c r="C610" s="20">
        <f t="shared" ca="1" si="107"/>
        <v>7.3972116423012775</v>
      </c>
      <c r="D610" s="21">
        <f t="shared" ca="1" si="108"/>
        <v>7.3972116423012775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12.977209502662436</v>
      </c>
      <c r="C611" s="20">
        <f t="shared" ca="1" si="107"/>
        <v>11.396048711716249</v>
      </c>
      <c r="D611" s="21">
        <f t="shared" ca="1" si="108"/>
        <v>11.396048711716249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11.68201640854665</v>
      </c>
      <c r="C612" s="20">
        <f t="shared" ca="1" si="107"/>
        <v>9.3436481865282044</v>
      </c>
      <c r="D612" s="21">
        <f t="shared" ref="D612:G631" ca="1" si="111">IF(AND(ISNUMBER($D$1),$F$1&gt;0,ISNUMBER(D$11),D$11&lt;=$H$1),_xlfn.NORM.INV(RAND(),$D$1,SQRT($F$1)),"")</f>
        <v>9.3436481865282044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12.37425159671429</v>
      </c>
      <c r="C613" s="20">
        <f t="shared" ca="1" si="107"/>
        <v>5.7946369958244146</v>
      </c>
      <c r="D613" s="21">
        <f t="shared" ca="1" si="111"/>
        <v>5.7946369958244146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11.750124269508758</v>
      </c>
      <c r="C614" s="20">
        <f t="shared" ca="1" si="107"/>
        <v>10.25628839266208</v>
      </c>
      <c r="D614" s="21">
        <f t="shared" ca="1" si="111"/>
        <v>10.25628839266208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9.0201260855379264</v>
      </c>
      <c r="C615" s="20">
        <f t="shared" ca="1" si="107"/>
        <v>15.349171425338614</v>
      </c>
      <c r="D615" s="21">
        <f t="shared" ca="1" si="111"/>
        <v>15.349171425338614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6.4382608029449591</v>
      </c>
      <c r="C616" s="20">
        <f t="shared" ca="1" si="107"/>
        <v>14.081839204617433</v>
      </c>
      <c r="D616" s="21">
        <f t="shared" ca="1" si="111"/>
        <v>14.081839204617433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8.5794394929308577</v>
      </c>
      <c r="C617" s="20">
        <f t="shared" ca="1" si="107"/>
        <v>7.0214625069956105</v>
      </c>
      <c r="D617" s="21">
        <f t="shared" ca="1" si="111"/>
        <v>7.0214625069956105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9.3729688976180157</v>
      </c>
      <c r="C618" s="20">
        <f t="shared" ca="1" si="107"/>
        <v>8.6584729753545009</v>
      </c>
      <c r="D618" s="21">
        <f t="shared" ca="1" si="111"/>
        <v>8.6584729753545009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9.0977772362451272</v>
      </c>
      <c r="C619" s="20">
        <f t="shared" ca="1" si="107"/>
        <v>5.1592083666900752</v>
      </c>
      <c r="D619" s="21">
        <f t="shared" ca="1" si="111"/>
        <v>5.1592083666900752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10.130114297914615</v>
      </c>
      <c r="C620" s="20">
        <f t="shared" ca="1" si="107"/>
        <v>8.3985105207849493</v>
      </c>
      <c r="D620" s="21">
        <f t="shared" ca="1" si="111"/>
        <v>8.3985105207849493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10.750501484758038</v>
      </c>
      <c r="C621" s="20">
        <f t="shared" ca="1" si="107"/>
        <v>10.041585744372746</v>
      </c>
      <c r="D621" s="21">
        <f t="shared" ca="1" si="111"/>
        <v>10.041585744372746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11.822590307974922</v>
      </c>
      <c r="C622" s="20">
        <f t="shared" ca="1" si="107"/>
        <v>10.747290658001852</v>
      </c>
      <c r="D622" s="21">
        <f t="shared" ca="1" si="111"/>
        <v>10.747290658001852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9.2013845058580443</v>
      </c>
      <c r="C623" s="20">
        <f t="shared" ca="1" si="107"/>
        <v>13.619353262872021</v>
      </c>
      <c r="D623" s="21">
        <f t="shared" ca="1" si="111"/>
        <v>13.619353262872021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11.512508212348227</v>
      </c>
      <c r="C624" s="20">
        <f t="shared" ca="1" si="107"/>
        <v>10.506608742658466</v>
      </c>
      <c r="D624" s="21">
        <f t="shared" ca="1" si="111"/>
        <v>10.506608742658466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10.280010864448137</v>
      </c>
      <c r="C625" s="20">
        <f t="shared" ca="1" si="107"/>
        <v>9.852073636130628</v>
      </c>
      <c r="D625" s="21">
        <f t="shared" ca="1" si="111"/>
        <v>9.852073636130628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12.652901955868943</v>
      </c>
      <c r="C626" s="20">
        <f t="shared" ca="1" si="107"/>
        <v>11.873723736725911</v>
      </c>
      <c r="D626" s="21">
        <f t="shared" ca="1" si="111"/>
        <v>11.873723736725911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8.5808493953356741</v>
      </c>
      <c r="C627" s="20">
        <f t="shared" ca="1" si="107"/>
        <v>7.380125240317339</v>
      </c>
      <c r="D627" s="21">
        <f t="shared" ca="1" si="111"/>
        <v>7.380125240317339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9.6989449573246134</v>
      </c>
      <c r="C628" s="20">
        <f t="shared" ca="1" si="107"/>
        <v>13.16453528587671</v>
      </c>
      <c r="D628" s="21">
        <f t="shared" ca="1" si="111"/>
        <v>13.16453528587671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9.3345519577141101</v>
      </c>
      <c r="C629" s="20">
        <f t="shared" ca="1" si="107"/>
        <v>8.7391778117571217</v>
      </c>
      <c r="D629" s="21">
        <f t="shared" ca="1" si="111"/>
        <v>8.7391778117571217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12.254671055151029</v>
      </c>
      <c r="C630" s="20">
        <f t="shared" ca="1" si="107"/>
        <v>6.5090322374301497</v>
      </c>
      <c r="D630" s="21">
        <f t="shared" ca="1" si="111"/>
        <v>6.5090322374301497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13.391356435971165</v>
      </c>
      <c r="C631" s="20">
        <f t="shared" ca="1" si="107"/>
        <v>8.6141259059176427</v>
      </c>
      <c r="D631" s="21">
        <f t="shared" ca="1" si="111"/>
        <v>8.6141259059176427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12.117436763741942</v>
      </c>
      <c r="C632" s="20">
        <f t="shared" ca="1" si="107"/>
        <v>7.6688969165043339</v>
      </c>
      <c r="D632" s="21">
        <f t="shared" ref="D632:G651" ca="1" si="114">IF(AND(ISNUMBER($D$1),$F$1&gt;0,ISNUMBER(D$11),D$11&lt;=$H$1),_xlfn.NORM.INV(RAND(),$D$1,SQRT($F$1)),"")</f>
        <v>7.6688969165043339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13.326460166084342</v>
      </c>
      <c r="C633" s="20">
        <f t="shared" ca="1" si="107"/>
        <v>10.997906260081768</v>
      </c>
      <c r="D633" s="21">
        <f t="shared" ca="1" si="114"/>
        <v>10.997906260081768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11.911740075448808</v>
      </c>
      <c r="C634" s="20">
        <f t="shared" ca="1" si="107"/>
        <v>6.4072835525088738</v>
      </c>
      <c r="D634" s="21">
        <f t="shared" ca="1" si="114"/>
        <v>6.4072835525088738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14.346837352976962</v>
      </c>
      <c r="C635" s="20">
        <f t="shared" ca="1" si="107"/>
        <v>6.0118621701758777</v>
      </c>
      <c r="D635" s="21">
        <f t="shared" ca="1" si="114"/>
        <v>6.0118621701758777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8.7537472930985682</v>
      </c>
      <c r="C636" s="20">
        <f t="shared" ca="1" si="107"/>
        <v>8.1022939699373797</v>
      </c>
      <c r="D636" s="21">
        <f t="shared" ca="1" si="114"/>
        <v>8.1022939699373797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15.03013782032955</v>
      </c>
      <c r="C637" s="20">
        <f t="shared" ca="1" si="107"/>
        <v>8.3577269097090046</v>
      </c>
      <c r="D637" s="21">
        <f t="shared" ca="1" si="114"/>
        <v>8.3577269097090046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9.8776600267561356</v>
      </c>
      <c r="C638" s="20">
        <f t="shared" ca="1" si="107"/>
        <v>12.963572529986047</v>
      </c>
      <c r="D638" s="21">
        <f t="shared" ca="1" si="114"/>
        <v>12.963572529986047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14.503329013389704</v>
      </c>
      <c r="C639" s="20">
        <f t="shared" ca="1" si="107"/>
        <v>9.050418733908133</v>
      </c>
      <c r="D639" s="21">
        <f t="shared" ca="1" si="114"/>
        <v>9.050418733908133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13.263864436848634</v>
      </c>
      <c r="C640" s="20">
        <f t="shared" ca="1" si="107"/>
        <v>11.162881200555805</v>
      </c>
      <c r="D640" s="21">
        <f t="shared" ca="1" si="114"/>
        <v>11.162881200555805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10.043922930876954</v>
      </c>
      <c r="C641" s="20">
        <f t="shared" ca="1" si="107"/>
        <v>11.193714515130214</v>
      </c>
      <c r="D641" s="21">
        <f t="shared" ca="1" si="114"/>
        <v>11.193714515130214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8.1893673069590402</v>
      </c>
      <c r="C642" s="20">
        <f t="shared" ca="1" si="107"/>
        <v>10.374799422547088</v>
      </c>
      <c r="D642" s="21">
        <f t="shared" ca="1" si="114"/>
        <v>10.374799422547088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9.4263281861225998</v>
      </c>
      <c r="C643" s="20">
        <f t="shared" ca="1" si="107"/>
        <v>12.174053383230428</v>
      </c>
      <c r="D643" s="21">
        <f t="shared" ca="1" si="114"/>
        <v>12.174053383230428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7.1675282116023826</v>
      </c>
      <c r="C644" s="20">
        <f t="shared" ca="1" si="107"/>
        <v>10.787122328829945</v>
      </c>
      <c r="D644" s="21">
        <f t="shared" ca="1" si="114"/>
        <v>10.787122328829945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12.724632716557142</v>
      </c>
      <c r="C645" s="20">
        <f t="shared" ca="1" si="107"/>
        <v>7.1996407292167568</v>
      </c>
      <c r="D645" s="21">
        <f t="shared" ca="1" si="114"/>
        <v>7.1996407292167568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8.1085743501297625</v>
      </c>
      <c r="C646" s="20">
        <f t="shared" ca="1" si="107"/>
        <v>7.9619394130259211</v>
      </c>
      <c r="D646" s="21">
        <f t="shared" ca="1" si="114"/>
        <v>7.9619394130259211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10.865652491894412</v>
      </c>
      <c r="C647" s="20">
        <f t="shared" ca="1" si="107"/>
        <v>7.3839921951589851</v>
      </c>
      <c r="D647" s="21">
        <f t="shared" ca="1" si="114"/>
        <v>7.3839921951589851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6.6440948141908693</v>
      </c>
      <c r="C648" s="20">
        <f t="shared" ca="1" si="107"/>
        <v>9.6842751724547789</v>
      </c>
      <c r="D648" s="21">
        <f t="shared" ca="1" si="114"/>
        <v>9.6842751724547789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6.4328555075291174</v>
      </c>
      <c r="C649" s="20">
        <f t="shared" ca="1" si="107"/>
        <v>13.711637849008348</v>
      </c>
      <c r="D649" s="21">
        <f t="shared" ca="1" si="114"/>
        <v>13.711637849008348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11.609960508136506</v>
      </c>
      <c r="C650" s="20">
        <f t="shared" ca="1" si="107"/>
        <v>8.4216284524499176</v>
      </c>
      <c r="D650" s="21">
        <f t="shared" ca="1" si="114"/>
        <v>8.4216284524499176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12.453182557148963</v>
      </c>
      <c r="C651" s="20">
        <f t="shared" ca="1" si="107"/>
        <v>7.9676635649714989</v>
      </c>
      <c r="D651" s="21">
        <f t="shared" ca="1" si="114"/>
        <v>7.9676635649714989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10.021422405462468</v>
      </c>
      <c r="C652" s="20">
        <f t="shared" ca="1" si="107"/>
        <v>9.6880923453008148</v>
      </c>
      <c r="D652" s="21">
        <f t="shared" ref="D652:G671" ca="1" si="117">IF(AND(ISNUMBER($D$1),$F$1&gt;0,ISNUMBER(D$11),D$11&lt;=$H$1),_xlfn.NORM.INV(RAND(),$D$1,SQRT($F$1)),"")</f>
        <v>9.6880923453008148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8.0722129240041944</v>
      </c>
      <c r="C653" s="20">
        <f t="shared" ref="C653:C716" ca="1" si="120">IF(AND($H$1&gt;=1,ISNUMBER(D653)),AVERAGE(D653:W653),"")</f>
        <v>5.4037349309554665</v>
      </c>
      <c r="D653" s="21">
        <f t="shared" ca="1" si="117"/>
        <v>5.4037349309554665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10.797856787729646</v>
      </c>
      <c r="C654" s="20">
        <f t="shared" ca="1" si="120"/>
        <v>9.0742637914487112</v>
      </c>
      <c r="D654" s="21">
        <f t="shared" ca="1" si="117"/>
        <v>9.0742637914487112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9.8721689209195809</v>
      </c>
      <c r="C655" s="20">
        <f t="shared" ca="1" si="120"/>
        <v>9.820242819501436</v>
      </c>
      <c r="D655" s="21">
        <f t="shared" ca="1" si="117"/>
        <v>9.820242819501436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10.054356350224543</v>
      </c>
      <c r="C656" s="20">
        <f t="shared" ca="1" si="120"/>
        <v>11.483114960053083</v>
      </c>
      <c r="D656" s="21">
        <f t="shared" ca="1" si="117"/>
        <v>11.483114960053083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10.84287331545846</v>
      </c>
      <c r="C657" s="20">
        <f t="shared" ca="1" si="120"/>
        <v>10.428388515738437</v>
      </c>
      <c r="D657" s="21">
        <f t="shared" ca="1" si="117"/>
        <v>10.428388515738437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9.2847584537912979</v>
      </c>
      <c r="C658" s="20">
        <f t="shared" ca="1" si="120"/>
        <v>8.3265756841403018</v>
      </c>
      <c r="D658" s="21">
        <f t="shared" ca="1" si="117"/>
        <v>8.3265756841403018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11.624890987684225</v>
      </c>
      <c r="C659" s="20">
        <f t="shared" ca="1" si="120"/>
        <v>11.671066259441536</v>
      </c>
      <c r="D659" s="21">
        <f t="shared" ca="1" si="117"/>
        <v>11.671066259441536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6.054554166427657</v>
      </c>
      <c r="C660" s="20">
        <f t="shared" ca="1" si="120"/>
        <v>9.2464781566541703</v>
      </c>
      <c r="D660" s="21">
        <f t="shared" ca="1" si="117"/>
        <v>9.2464781566541703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12.909826919596149</v>
      </c>
      <c r="C661" s="20">
        <f t="shared" ca="1" si="120"/>
        <v>10.605980768246862</v>
      </c>
      <c r="D661" s="21">
        <f t="shared" ca="1" si="117"/>
        <v>10.605980768246862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13.534794298262867</v>
      </c>
      <c r="C662" s="20">
        <f t="shared" ca="1" si="120"/>
        <v>14.594833519649837</v>
      </c>
      <c r="D662" s="21">
        <f t="shared" ca="1" si="117"/>
        <v>14.594833519649837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8.8837629538496312</v>
      </c>
      <c r="C663" s="20">
        <f t="shared" ca="1" si="120"/>
        <v>10.36084996259709</v>
      </c>
      <c r="D663" s="21">
        <f t="shared" ca="1" si="117"/>
        <v>10.36084996259709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11.273961887822898</v>
      </c>
      <c r="C664" s="20">
        <f t="shared" ca="1" si="120"/>
        <v>9.16376670230526</v>
      </c>
      <c r="D664" s="21">
        <f t="shared" ca="1" si="117"/>
        <v>9.16376670230526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13.916566707778374</v>
      </c>
      <c r="C665" s="20">
        <f t="shared" ca="1" si="120"/>
        <v>10.397767378520761</v>
      </c>
      <c r="D665" s="21">
        <f t="shared" ca="1" si="117"/>
        <v>10.397767378520761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9.8795497933575547</v>
      </c>
      <c r="C666" s="20">
        <f t="shared" ca="1" si="120"/>
        <v>8.2135222594936774</v>
      </c>
      <c r="D666" s="21">
        <f t="shared" ca="1" si="117"/>
        <v>8.2135222594936774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9.6120617245818867</v>
      </c>
      <c r="C667" s="20">
        <f t="shared" ca="1" si="120"/>
        <v>6.4112449013112354</v>
      </c>
      <c r="D667" s="21">
        <f t="shared" ca="1" si="117"/>
        <v>6.4112449013112354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11.491799278029818</v>
      </c>
      <c r="C668" s="20">
        <f t="shared" ca="1" si="120"/>
        <v>12.104500965443698</v>
      </c>
      <c r="D668" s="21">
        <f t="shared" ca="1" si="117"/>
        <v>12.104500965443698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9.9689888297208622</v>
      </c>
      <c r="C669" s="20">
        <f t="shared" ca="1" si="120"/>
        <v>7.3422870675403242</v>
      </c>
      <c r="D669" s="21">
        <f t="shared" ca="1" si="117"/>
        <v>7.3422870675403242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7.3974103748623543</v>
      </c>
      <c r="C670" s="20">
        <f t="shared" ca="1" si="120"/>
        <v>12.064918511374898</v>
      </c>
      <c r="D670" s="21">
        <f t="shared" ca="1" si="117"/>
        <v>12.064918511374898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11.028710027981704</v>
      </c>
      <c r="C671" s="20">
        <f t="shared" ca="1" si="120"/>
        <v>11.424392278528034</v>
      </c>
      <c r="D671" s="21">
        <f t="shared" ca="1" si="117"/>
        <v>11.424392278528034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9.227162602516966</v>
      </c>
      <c r="C672" s="20">
        <f t="shared" ca="1" si="120"/>
        <v>13.2619133659365</v>
      </c>
      <c r="D672" s="21">
        <f t="shared" ref="D672:G691" ca="1" si="122">IF(AND(ISNUMBER($D$1),$F$1&gt;0,ISNUMBER(D$11),D$11&lt;=$H$1),_xlfn.NORM.INV(RAND(),$D$1,SQRT($F$1)),"")</f>
        <v>13.2619133659365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9.9141927928286293</v>
      </c>
      <c r="C673" s="20">
        <f t="shared" ca="1" si="120"/>
        <v>10.757987067951936</v>
      </c>
      <c r="D673" s="21">
        <f t="shared" ca="1" si="122"/>
        <v>10.757987067951936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10.443708089665096</v>
      </c>
      <c r="C674" s="20">
        <f t="shared" ca="1" si="120"/>
        <v>6.7431918470382284</v>
      </c>
      <c r="D674" s="21">
        <f t="shared" ca="1" si="122"/>
        <v>6.7431918470382284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11.803933536037745</v>
      </c>
      <c r="C675" s="20">
        <f t="shared" ca="1" si="120"/>
        <v>8.8498270382068043</v>
      </c>
      <c r="D675" s="21">
        <f t="shared" ca="1" si="122"/>
        <v>8.8498270382068043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8.8729020642632737</v>
      </c>
      <c r="C676" s="20">
        <f t="shared" ca="1" si="120"/>
        <v>8.5021970752583904</v>
      </c>
      <c r="D676" s="21">
        <f t="shared" ca="1" si="122"/>
        <v>8.5021970752583904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12.71492272259087</v>
      </c>
      <c r="C677" s="20">
        <f t="shared" ca="1" si="120"/>
        <v>10.874000535538393</v>
      </c>
      <c r="D677" s="21">
        <f t="shared" ca="1" si="122"/>
        <v>10.874000535538393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10.890052249030814</v>
      </c>
      <c r="C678" s="20">
        <f t="shared" ca="1" si="120"/>
        <v>8.9659887951489541</v>
      </c>
      <c r="D678" s="21">
        <f t="shared" ca="1" si="122"/>
        <v>8.9659887951489541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10.169861430504007</v>
      </c>
      <c r="C679" s="20">
        <f t="shared" ca="1" si="120"/>
        <v>11.884449210097014</v>
      </c>
      <c r="D679" s="21">
        <f t="shared" ca="1" si="122"/>
        <v>11.884449210097014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12.41280996673655</v>
      </c>
      <c r="C680" s="20">
        <f t="shared" ca="1" si="120"/>
        <v>7.4843902786676528</v>
      </c>
      <c r="D680" s="21">
        <f t="shared" ca="1" si="122"/>
        <v>7.4843902786676528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11.549015568853111</v>
      </c>
      <c r="C681" s="20">
        <f t="shared" ca="1" si="120"/>
        <v>9.1195486018003677</v>
      </c>
      <c r="D681" s="21">
        <f t="shared" ca="1" si="122"/>
        <v>9.1195486018003677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11.134816384419638</v>
      </c>
      <c r="C682" s="20">
        <f t="shared" ca="1" si="120"/>
        <v>8.5588428301811632</v>
      </c>
      <c r="D682" s="21">
        <f t="shared" ca="1" si="122"/>
        <v>8.5588428301811632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8.9303925096820755</v>
      </c>
      <c r="C683" s="20">
        <f t="shared" ca="1" si="120"/>
        <v>10.612123071761813</v>
      </c>
      <c r="D683" s="21">
        <f t="shared" ca="1" si="122"/>
        <v>10.612123071761813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8.0465349335575169</v>
      </c>
      <c r="C684" s="20">
        <f t="shared" ca="1" si="120"/>
        <v>9.1648988196417633</v>
      </c>
      <c r="D684" s="21">
        <f t="shared" ca="1" si="122"/>
        <v>9.1648988196417633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9.809642264452064</v>
      </c>
      <c r="C685" s="20">
        <f t="shared" ca="1" si="120"/>
        <v>10.571143251440297</v>
      </c>
      <c r="D685" s="21">
        <f t="shared" ca="1" si="122"/>
        <v>10.571143251440297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8.5254092980289009</v>
      </c>
      <c r="C686" s="20">
        <f t="shared" ca="1" si="120"/>
        <v>11.048015456970523</v>
      </c>
      <c r="D686" s="21">
        <f t="shared" ca="1" si="122"/>
        <v>11.048015456970523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10.33384771870684</v>
      </c>
      <c r="C687" s="20">
        <f t="shared" ca="1" si="120"/>
        <v>9.3029841232718997</v>
      </c>
      <c r="D687" s="21">
        <f t="shared" ca="1" si="122"/>
        <v>9.3029841232718997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9.2548364194816255</v>
      </c>
      <c r="C688" s="20">
        <f t="shared" ca="1" si="120"/>
        <v>11.627079245868821</v>
      </c>
      <c r="D688" s="21">
        <f t="shared" ca="1" si="122"/>
        <v>11.627079245868821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9.5509282128940214</v>
      </c>
      <c r="C689" s="20">
        <f t="shared" ca="1" si="120"/>
        <v>11.414380586348981</v>
      </c>
      <c r="D689" s="21">
        <f t="shared" ca="1" si="122"/>
        <v>11.414380586348981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8.1259281610151426</v>
      </c>
      <c r="C690" s="20">
        <f t="shared" ca="1" si="120"/>
        <v>8.5583450388103621</v>
      </c>
      <c r="D690" s="21">
        <f t="shared" ca="1" si="122"/>
        <v>8.5583450388103621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10.300040241537678</v>
      </c>
      <c r="C691" s="20">
        <f t="shared" ca="1" si="120"/>
        <v>9.7619250105085911</v>
      </c>
      <c r="D691" s="21">
        <f t="shared" ca="1" si="122"/>
        <v>9.7619250105085911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10.167335752135545</v>
      </c>
      <c r="C692" s="20">
        <f t="shared" ca="1" si="120"/>
        <v>10.027085695410923</v>
      </c>
      <c r="D692" s="21">
        <f t="shared" ref="D692:G711" ca="1" si="125">IF(AND(ISNUMBER($D$1),$F$1&gt;0,ISNUMBER(D$11),D$11&lt;=$H$1),_xlfn.NORM.INV(RAND(),$D$1,SQRT($F$1)),"")</f>
        <v>10.027085695410923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9.5256602598857345</v>
      </c>
      <c r="C693" s="20">
        <f t="shared" ca="1" si="120"/>
        <v>7.6793240726862564</v>
      </c>
      <c r="D693" s="21">
        <f t="shared" ca="1" si="125"/>
        <v>7.6793240726862564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11.416845647271527</v>
      </c>
      <c r="C694" s="20">
        <f t="shared" ca="1" si="120"/>
        <v>10.737933455777652</v>
      </c>
      <c r="D694" s="21">
        <f t="shared" ca="1" si="125"/>
        <v>10.737933455777652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7.0799379605466717</v>
      </c>
      <c r="C695" s="20">
        <f t="shared" ca="1" si="120"/>
        <v>9.8621631238124188</v>
      </c>
      <c r="D695" s="21">
        <f t="shared" ca="1" si="125"/>
        <v>9.8621631238124188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11.489959469467657</v>
      </c>
      <c r="C696" s="20">
        <f t="shared" ca="1" si="120"/>
        <v>10.725952837782733</v>
      </c>
      <c r="D696" s="21">
        <f t="shared" ca="1" si="125"/>
        <v>10.725952837782733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9.3644696924556747</v>
      </c>
      <c r="C697" s="20">
        <f t="shared" ca="1" si="120"/>
        <v>3.7271100842607749</v>
      </c>
      <c r="D697" s="21">
        <f t="shared" ca="1" si="125"/>
        <v>3.7271100842607749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9.1668171921246522</v>
      </c>
      <c r="C698" s="20">
        <f t="shared" ca="1" si="120"/>
        <v>10.226236586197171</v>
      </c>
      <c r="D698" s="21">
        <f t="shared" ca="1" si="125"/>
        <v>10.226236586197171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13.70594393348286</v>
      </c>
      <c r="C699" s="20">
        <f t="shared" ca="1" si="120"/>
        <v>6.9016383797900138</v>
      </c>
      <c r="D699" s="21">
        <f t="shared" ca="1" si="125"/>
        <v>6.9016383797900138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10.352083990941702</v>
      </c>
      <c r="C700" s="20">
        <f t="shared" ca="1" si="120"/>
        <v>11.078894458019608</v>
      </c>
      <c r="D700" s="21">
        <f t="shared" ca="1" si="125"/>
        <v>11.078894458019608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10.674448721115814</v>
      </c>
      <c r="C701" s="20">
        <f t="shared" ca="1" si="120"/>
        <v>8.960867421545748</v>
      </c>
      <c r="D701" s="21">
        <f t="shared" ca="1" si="125"/>
        <v>8.960867421545748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12.536321067133141</v>
      </c>
      <c r="C702" s="20">
        <f t="shared" ca="1" si="120"/>
        <v>11.717999244664906</v>
      </c>
      <c r="D702" s="21">
        <f t="shared" ca="1" si="125"/>
        <v>11.717999244664906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6.5563788825899145</v>
      </c>
      <c r="C703" s="20">
        <f t="shared" ca="1" si="120"/>
        <v>6.5841622768168175</v>
      </c>
      <c r="D703" s="21">
        <f t="shared" ca="1" si="125"/>
        <v>6.5841622768168175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8.984145218807658</v>
      </c>
      <c r="C704" s="20">
        <f t="shared" ca="1" si="120"/>
        <v>8.181338262153373</v>
      </c>
      <c r="D704" s="21">
        <f t="shared" ca="1" si="125"/>
        <v>8.181338262153373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6.843717693708566</v>
      </c>
      <c r="C705" s="20">
        <f t="shared" ca="1" si="120"/>
        <v>9.8666178030823719</v>
      </c>
      <c r="D705" s="21">
        <f t="shared" ca="1" si="125"/>
        <v>9.8666178030823719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13.991368807620711</v>
      </c>
      <c r="C706" s="20">
        <f t="shared" ca="1" si="120"/>
        <v>9.777712642098944</v>
      </c>
      <c r="D706" s="21">
        <f t="shared" ca="1" si="125"/>
        <v>9.777712642098944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11.331745247482585</v>
      </c>
      <c r="C707" s="20">
        <f t="shared" ca="1" si="120"/>
        <v>8.0948255671998801</v>
      </c>
      <c r="D707" s="21">
        <f t="shared" ca="1" si="125"/>
        <v>8.0948255671998801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8.9975847259049999</v>
      </c>
      <c r="C708" s="20">
        <f t="shared" ca="1" si="120"/>
        <v>8.6092836709441372</v>
      </c>
      <c r="D708" s="21">
        <f t="shared" ca="1" si="125"/>
        <v>8.6092836709441372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8.756967550910792</v>
      </c>
      <c r="C709" s="20">
        <f t="shared" ca="1" si="120"/>
        <v>9.0039303583222789</v>
      </c>
      <c r="D709" s="21">
        <f t="shared" ca="1" si="125"/>
        <v>9.0039303583222789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9.087022514597308</v>
      </c>
      <c r="C710" s="20">
        <f t="shared" ca="1" si="120"/>
        <v>9.9211186094772152</v>
      </c>
      <c r="D710" s="21">
        <f t="shared" ca="1" si="125"/>
        <v>9.9211186094772152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13.103729673291344</v>
      </c>
      <c r="C711" s="20">
        <f t="shared" ca="1" si="120"/>
        <v>10.246466820235549</v>
      </c>
      <c r="D711" s="21">
        <f t="shared" ca="1" si="125"/>
        <v>10.246466820235549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10.598794567190717</v>
      </c>
      <c r="C712" s="20">
        <f t="shared" ca="1" si="120"/>
        <v>10.49278343936518</v>
      </c>
      <c r="D712" s="21">
        <f t="shared" ref="D712:G731" ca="1" si="128">IF(AND(ISNUMBER($D$1),$F$1&gt;0,ISNUMBER(D$11),D$11&lt;=$H$1),_xlfn.NORM.INV(RAND(),$D$1,SQRT($F$1)),"")</f>
        <v>10.49278343936518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10.762886516668612</v>
      </c>
      <c r="C713" s="20">
        <f t="shared" ca="1" si="120"/>
        <v>6.2054883633785911</v>
      </c>
      <c r="D713" s="21">
        <f t="shared" ca="1" si="128"/>
        <v>6.2054883633785911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10.04190087951717</v>
      </c>
      <c r="C714" s="20">
        <f t="shared" ca="1" si="120"/>
        <v>6.3921732895373387</v>
      </c>
      <c r="D714" s="21">
        <f t="shared" ca="1" si="128"/>
        <v>6.3921732895373387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13.087586625569175</v>
      </c>
      <c r="C715" s="20">
        <f t="shared" ca="1" si="120"/>
        <v>7.6967568656731107</v>
      </c>
      <c r="D715" s="21">
        <f t="shared" ca="1" si="128"/>
        <v>7.6967568656731107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10.407274513702454</v>
      </c>
      <c r="C716" s="20">
        <f t="shared" ca="1" si="120"/>
        <v>12.577524853763618</v>
      </c>
      <c r="D716" s="21">
        <f t="shared" ca="1" si="128"/>
        <v>12.577524853763618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10.481912655448907</v>
      </c>
      <c r="C717" s="20">
        <f t="shared" ref="C717:C780" ca="1" si="131">IF(AND($H$1&gt;=1,ISNUMBER(D717)),AVERAGE(D717:W717),"")</f>
        <v>10.601321336110452</v>
      </c>
      <c r="D717" s="21">
        <f t="shared" ca="1" si="128"/>
        <v>10.601321336110452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11.841186045965419</v>
      </c>
      <c r="C718" s="20">
        <f t="shared" ca="1" si="131"/>
        <v>11.994803566128358</v>
      </c>
      <c r="D718" s="21">
        <f t="shared" ca="1" si="128"/>
        <v>11.994803566128358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11.351796428091001</v>
      </c>
      <c r="C719" s="20">
        <f t="shared" ca="1" si="131"/>
        <v>6.2493203601233454</v>
      </c>
      <c r="D719" s="21">
        <f t="shared" ca="1" si="128"/>
        <v>6.2493203601233454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10.821206761696097</v>
      </c>
      <c r="C720" s="20">
        <f t="shared" ca="1" si="131"/>
        <v>10.940033438741604</v>
      </c>
      <c r="D720" s="21">
        <f t="shared" ca="1" si="128"/>
        <v>10.940033438741604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10.880658683367443</v>
      </c>
      <c r="C721" s="20">
        <f t="shared" ca="1" si="131"/>
        <v>9.0719079795149646</v>
      </c>
      <c r="D721" s="21">
        <f t="shared" ca="1" si="128"/>
        <v>9.0719079795149646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10.649811868664001</v>
      </c>
      <c r="C722" s="20">
        <f t="shared" ca="1" si="131"/>
        <v>13.315328260556315</v>
      </c>
      <c r="D722" s="21">
        <f t="shared" ca="1" si="128"/>
        <v>13.315328260556315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15.012193876984735</v>
      </c>
      <c r="C723" s="20">
        <f t="shared" ca="1" si="131"/>
        <v>12.095983562456722</v>
      </c>
      <c r="D723" s="21">
        <f t="shared" ca="1" si="128"/>
        <v>12.095983562456722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9.8268904532674668</v>
      </c>
      <c r="C724" s="20">
        <f t="shared" ca="1" si="131"/>
        <v>10.932219629486658</v>
      </c>
      <c r="D724" s="21">
        <f t="shared" ca="1" si="128"/>
        <v>10.932219629486658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5.3242027191431704</v>
      </c>
      <c r="C725" s="20">
        <f t="shared" ca="1" si="131"/>
        <v>10.629720728883701</v>
      </c>
      <c r="D725" s="21">
        <f t="shared" ca="1" si="128"/>
        <v>10.629720728883701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7.9676950896849288</v>
      </c>
      <c r="C726" s="20">
        <f t="shared" ca="1" si="131"/>
        <v>10.008980948305883</v>
      </c>
      <c r="D726" s="21">
        <f t="shared" ca="1" si="128"/>
        <v>10.008980948305883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7.7261188247057895</v>
      </c>
      <c r="C727" s="20">
        <f t="shared" ca="1" si="131"/>
        <v>8.876289220639979</v>
      </c>
      <c r="D727" s="21">
        <f t="shared" ca="1" si="128"/>
        <v>8.876289220639979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10.525042857537439</v>
      </c>
      <c r="C728" s="20">
        <f t="shared" ca="1" si="131"/>
        <v>9.2445284593989001</v>
      </c>
      <c r="D728" s="21">
        <f t="shared" ca="1" si="128"/>
        <v>9.2445284593989001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10.402386962963003</v>
      </c>
      <c r="C729" s="20">
        <f t="shared" ca="1" si="131"/>
        <v>10.032489374366062</v>
      </c>
      <c r="D729" s="21">
        <f t="shared" ca="1" si="128"/>
        <v>10.032489374366062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8.0931614855880998</v>
      </c>
      <c r="C730" s="20">
        <f t="shared" ca="1" si="131"/>
        <v>8.2449055510649014</v>
      </c>
      <c r="D730" s="21">
        <f t="shared" ca="1" si="128"/>
        <v>8.2449055510649014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8.3893998610877283</v>
      </c>
      <c r="C731" s="20">
        <f t="shared" ca="1" si="131"/>
        <v>11.237105003143295</v>
      </c>
      <c r="D731" s="21">
        <f t="shared" ca="1" si="128"/>
        <v>11.237105003143295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7.8739415592384319</v>
      </c>
      <c r="C732" s="20">
        <f t="shared" ca="1" si="131"/>
        <v>12.332197229409608</v>
      </c>
      <c r="D732" s="21">
        <f t="shared" ref="D732:G751" ca="1" si="133">IF(AND(ISNUMBER($D$1),$F$1&gt;0,ISNUMBER(D$11),D$11&lt;=$H$1),_xlfn.NORM.INV(RAND(),$D$1,SQRT($F$1)),"")</f>
        <v>12.332197229409608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13.298979078863013</v>
      </c>
      <c r="C733" s="20">
        <f t="shared" ca="1" si="131"/>
        <v>10.19905119571426</v>
      </c>
      <c r="D733" s="21">
        <f t="shared" ca="1" si="133"/>
        <v>10.19905119571426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9.5645102465739615</v>
      </c>
      <c r="C734" s="20">
        <f t="shared" ca="1" si="131"/>
        <v>11.541426914653279</v>
      </c>
      <c r="D734" s="21">
        <f t="shared" ca="1" si="133"/>
        <v>11.541426914653279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11.432410149969865</v>
      </c>
      <c r="C735" s="20">
        <f t="shared" ca="1" si="131"/>
        <v>14.307157713936611</v>
      </c>
      <c r="D735" s="21">
        <f t="shared" ca="1" si="133"/>
        <v>14.307157713936611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9.8943704943356217</v>
      </c>
      <c r="C736" s="20">
        <f t="shared" ca="1" si="131"/>
        <v>8.5220577342627752</v>
      </c>
      <c r="D736" s="21">
        <f t="shared" ca="1" si="133"/>
        <v>8.5220577342627752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8.7117724675119259</v>
      </c>
      <c r="C737" s="20">
        <f t="shared" ca="1" si="131"/>
        <v>10.207860714801313</v>
      </c>
      <c r="D737" s="21">
        <f t="shared" ca="1" si="133"/>
        <v>10.207860714801313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10.637415640730653</v>
      </c>
      <c r="C738" s="20">
        <f t="shared" ca="1" si="131"/>
        <v>6.7861466346372961</v>
      </c>
      <c r="D738" s="21">
        <f t="shared" ca="1" si="133"/>
        <v>6.7861466346372961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11.896509353041266</v>
      </c>
      <c r="C739" s="20">
        <f t="shared" ca="1" si="131"/>
        <v>11.009401972453652</v>
      </c>
      <c r="D739" s="21">
        <f t="shared" ca="1" si="133"/>
        <v>11.009401972453652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10.933016086572511</v>
      </c>
      <c r="C740" s="20">
        <f t="shared" ca="1" si="131"/>
        <v>9.9789227932606739</v>
      </c>
      <c r="D740" s="21">
        <f t="shared" ca="1" si="133"/>
        <v>9.9789227932606739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11.658219106039686</v>
      </c>
      <c r="C741" s="20">
        <f t="shared" ca="1" si="131"/>
        <v>8.7749185309718225</v>
      </c>
      <c r="D741" s="21">
        <f t="shared" ca="1" si="133"/>
        <v>8.7749185309718225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7.3778230000718192</v>
      </c>
      <c r="C742" s="20">
        <f t="shared" ca="1" si="131"/>
        <v>11.175652325723425</v>
      </c>
      <c r="D742" s="21">
        <f t="shared" ca="1" si="133"/>
        <v>11.175652325723425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11.355069813977556</v>
      </c>
      <c r="C743" s="20">
        <f t="shared" ca="1" si="131"/>
        <v>7.9543561348891165</v>
      </c>
      <c r="D743" s="21">
        <f t="shared" ca="1" si="133"/>
        <v>7.9543561348891165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10.097075647438942</v>
      </c>
      <c r="C744" s="20">
        <f t="shared" ca="1" si="131"/>
        <v>10.918887850583058</v>
      </c>
      <c r="D744" s="21">
        <f t="shared" ca="1" si="133"/>
        <v>10.918887850583058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9.4411126906445517</v>
      </c>
      <c r="C745" s="20">
        <f t="shared" ca="1" si="131"/>
        <v>14.441961626058049</v>
      </c>
      <c r="D745" s="21">
        <f t="shared" ca="1" si="133"/>
        <v>14.441961626058049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8.5196168196266129</v>
      </c>
      <c r="C746" s="20">
        <f t="shared" ca="1" si="131"/>
        <v>7.5414749495813158</v>
      </c>
      <c r="D746" s="21">
        <f t="shared" ca="1" si="133"/>
        <v>7.5414749495813158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10.035874677683998</v>
      </c>
      <c r="C747" s="20">
        <f t="shared" ca="1" si="131"/>
        <v>12.751985434052827</v>
      </c>
      <c r="D747" s="21">
        <f t="shared" ca="1" si="133"/>
        <v>12.751985434052827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8.7312354377183237</v>
      </c>
      <c r="C748" s="20">
        <f t="shared" ca="1" si="131"/>
        <v>11.482607470023527</v>
      </c>
      <c r="D748" s="21">
        <f t="shared" ca="1" si="133"/>
        <v>11.482607470023527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7.4552449736649873</v>
      </c>
      <c r="C749" s="20">
        <f t="shared" ca="1" si="131"/>
        <v>8.6346419328621966</v>
      </c>
      <c r="D749" s="21">
        <f t="shared" ca="1" si="133"/>
        <v>8.6346419328621966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9.3659405606621196</v>
      </c>
      <c r="C750" s="20">
        <f t="shared" ca="1" si="131"/>
        <v>10.085356998898908</v>
      </c>
      <c r="D750" s="21">
        <f t="shared" ca="1" si="133"/>
        <v>10.085356998898908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7.8645148717219069</v>
      </c>
      <c r="C751" s="20">
        <f t="shared" ca="1" si="131"/>
        <v>10.395120259106655</v>
      </c>
      <c r="D751" s="21">
        <f t="shared" ca="1" si="133"/>
        <v>10.395120259106655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10.069066395190404</v>
      </c>
      <c r="C752" s="20">
        <f t="shared" ca="1" si="131"/>
        <v>9.5372434789470955</v>
      </c>
      <c r="D752" s="21">
        <f t="shared" ref="D752:G771" ca="1" si="136">IF(AND(ISNUMBER($D$1),$F$1&gt;0,ISNUMBER(D$11),D$11&lt;=$H$1),_xlfn.NORM.INV(RAND(),$D$1,SQRT($F$1)),"")</f>
        <v>9.5372434789470955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11.564566236357658</v>
      </c>
      <c r="C753" s="20">
        <f t="shared" ca="1" si="131"/>
        <v>10.18636806345658</v>
      </c>
      <c r="D753" s="21">
        <f t="shared" ca="1" si="136"/>
        <v>10.18636806345658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10.089344870401959</v>
      </c>
      <c r="C754" s="20">
        <f t="shared" ca="1" si="131"/>
        <v>8.6526373169322071</v>
      </c>
      <c r="D754" s="21">
        <f t="shared" ca="1" si="136"/>
        <v>8.6526373169322071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8.6944433398614986</v>
      </c>
      <c r="C755" s="20">
        <f t="shared" ca="1" si="131"/>
        <v>8.7471617469227407</v>
      </c>
      <c r="D755" s="21">
        <f t="shared" ca="1" si="136"/>
        <v>8.7471617469227407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11.053493664638227</v>
      </c>
      <c r="C756" s="20">
        <f t="shared" ca="1" si="131"/>
        <v>13.273600660840533</v>
      </c>
      <c r="D756" s="21">
        <f t="shared" ca="1" si="136"/>
        <v>13.273600660840533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9.9286608671863377</v>
      </c>
      <c r="C757" s="20">
        <f t="shared" ca="1" si="131"/>
        <v>8.9061269437331418</v>
      </c>
      <c r="D757" s="21">
        <f t="shared" ca="1" si="136"/>
        <v>8.9061269437331418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12.72805655765336</v>
      </c>
      <c r="C758" s="20">
        <f t="shared" ca="1" si="131"/>
        <v>8.3891324011543844</v>
      </c>
      <c r="D758" s="21">
        <f t="shared" ca="1" si="136"/>
        <v>8.3891324011543844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9.8840357789551927</v>
      </c>
      <c r="C759" s="20">
        <f t="shared" ca="1" si="131"/>
        <v>5.9343966602706386</v>
      </c>
      <c r="D759" s="21">
        <f t="shared" ca="1" si="136"/>
        <v>5.9343966602706386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9.3286194413098968</v>
      </c>
      <c r="C760" s="20">
        <f t="shared" ca="1" si="131"/>
        <v>9.7558750756716854</v>
      </c>
      <c r="D760" s="21">
        <f t="shared" ca="1" si="136"/>
        <v>9.7558750756716854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10.214406802102946</v>
      </c>
      <c r="C761" s="20">
        <f t="shared" ca="1" si="131"/>
        <v>8.3424847887528273</v>
      </c>
      <c r="D761" s="21">
        <f t="shared" ca="1" si="136"/>
        <v>8.3424847887528273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12.023495654361239</v>
      </c>
      <c r="C762" s="20">
        <f t="shared" ca="1" si="131"/>
        <v>13.701626461432005</v>
      </c>
      <c r="D762" s="21">
        <f t="shared" ca="1" si="136"/>
        <v>13.701626461432005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10.04493694347584</v>
      </c>
      <c r="C763" s="20">
        <f t="shared" ca="1" si="131"/>
        <v>10.831320374653652</v>
      </c>
      <c r="D763" s="21">
        <f t="shared" ca="1" si="136"/>
        <v>10.831320374653652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10.366902076048715</v>
      </c>
      <c r="C764" s="20">
        <f t="shared" ca="1" si="131"/>
        <v>9.6751274571864148</v>
      </c>
      <c r="D764" s="21">
        <f t="shared" ca="1" si="136"/>
        <v>9.6751274571864148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7.920658128660647</v>
      </c>
      <c r="C765" s="20">
        <f t="shared" ca="1" si="131"/>
        <v>12.512392545179807</v>
      </c>
      <c r="D765" s="21">
        <f t="shared" ca="1" si="136"/>
        <v>12.512392545179807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12.842879413887216</v>
      </c>
      <c r="C766" s="20">
        <f t="shared" ca="1" si="131"/>
        <v>7.3864693101769952</v>
      </c>
      <c r="D766" s="21">
        <f t="shared" ca="1" si="136"/>
        <v>7.3864693101769952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11.992290255698759</v>
      </c>
      <c r="C767" s="20">
        <f t="shared" ca="1" si="131"/>
        <v>9.0987113115225267</v>
      </c>
      <c r="D767" s="21">
        <f t="shared" ca="1" si="136"/>
        <v>9.0987113115225267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10.799290203192905</v>
      </c>
      <c r="C768" s="20">
        <f t="shared" ca="1" si="131"/>
        <v>10.493569630221323</v>
      </c>
      <c r="D768" s="21">
        <f t="shared" ca="1" si="136"/>
        <v>10.493569630221323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10.495116900479482</v>
      </c>
      <c r="C769" s="20">
        <f t="shared" ca="1" si="131"/>
        <v>12.499796526302395</v>
      </c>
      <c r="D769" s="21">
        <f t="shared" ca="1" si="136"/>
        <v>12.499796526302395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11.917874763592627</v>
      </c>
      <c r="C770" s="20">
        <f t="shared" ca="1" si="131"/>
        <v>14.042888642793454</v>
      </c>
      <c r="D770" s="21">
        <f t="shared" ca="1" si="136"/>
        <v>14.042888642793454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11.456332611158045</v>
      </c>
      <c r="C771" s="20">
        <f t="shared" ca="1" si="131"/>
        <v>10.140909177982211</v>
      </c>
      <c r="D771" s="21">
        <f t="shared" ca="1" si="136"/>
        <v>10.140909177982211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8.3077277449092612</v>
      </c>
      <c r="C772" s="20">
        <f t="shared" ca="1" si="131"/>
        <v>7.5279691438315748</v>
      </c>
      <c r="D772" s="21">
        <f t="shared" ref="D772:G791" ca="1" si="139">IF(AND(ISNUMBER($D$1),$F$1&gt;0,ISNUMBER(D$11),D$11&lt;=$H$1),_xlfn.NORM.INV(RAND(),$D$1,SQRT($F$1)),"")</f>
        <v>7.5279691438315748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10.251484574793878</v>
      </c>
      <c r="C773" s="20">
        <f t="shared" ca="1" si="131"/>
        <v>6.8950985967956715</v>
      </c>
      <c r="D773" s="21">
        <f t="shared" ca="1" si="139"/>
        <v>6.8950985967956715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8.1131918657116184</v>
      </c>
      <c r="C774" s="20">
        <f t="shared" ca="1" si="131"/>
        <v>10.912037698737482</v>
      </c>
      <c r="D774" s="21">
        <f t="shared" ca="1" si="139"/>
        <v>10.912037698737482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10.261612708074503</v>
      </c>
      <c r="C775" s="20">
        <f t="shared" ca="1" si="131"/>
        <v>6.9951229012288314</v>
      </c>
      <c r="D775" s="21">
        <f t="shared" ca="1" si="139"/>
        <v>6.9951229012288314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8.9012684792112555</v>
      </c>
      <c r="C776" s="20">
        <f t="shared" ca="1" si="131"/>
        <v>6.4192304951926173</v>
      </c>
      <c r="D776" s="21">
        <f t="shared" ca="1" si="139"/>
        <v>6.4192304951926173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11.414717136741897</v>
      </c>
      <c r="C777" s="20">
        <f t="shared" ca="1" si="131"/>
        <v>9.4405742159637693</v>
      </c>
      <c r="D777" s="21">
        <f t="shared" ca="1" si="139"/>
        <v>9.4405742159637693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8.263180598349722</v>
      </c>
      <c r="C778" s="20">
        <f t="shared" ca="1" si="131"/>
        <v>9.6532700619983665</v>
      </c>
      <c r="D778" s="21">
        <f t="shared" ca="1" si="139"/>
        <v>9.6532700619983665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12.993744277780475</v>
      </c>
      <c r="C779" s="20">
        <f t="shared" ca="1" si="131"/>
        <v>6.8346803931898927</v>
      </c>
      <c r="D779" s="21">
        <f t="shared" ca="1" si="139"/>
        <v>6.8346803931898927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6.0551218726094085</v>
      </c>
      <c r="C780" s="20">
        <f t="shared" ca="1" si="131"/>
        <v>8.9890369613275158</v>
      </c>
      <c r="D780" s="21">
        <f t="shared" ca="1" si="139"/>
        <v>8.9890369613275158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5.7490718496124495</v>
      </c>
      <c r="C781" s="20">
        <f t="shared" ref="C781:C844" ca="1" si="142">IF(AND($H$1&gt;=1,ISNUMBER(D781)),AVERAGE(D781:W781),"")</f>
        <v>5.0357674334002169</v>
      </c>
      <c r="D781" s="21">
        <f t="shared" ca="1" si="139"/>
        <v>5.0357674334002169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6.0629160191965372</v>
      </c>
      <c r="C782" s="20">
        <f t="shared" ca="1" si="142"/>
        <v>11.57260106376787</v>
      </c>
      <c r="D782" s="21">
        <f t="shared" ca="1" si="139"/>
        <v>11.57260106376787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9.8674321710992103</v>
      </c>
      <c r="C783" s="20">
        <f t="shared" ca="1" si="142"/>
        <v>10.551180213812099</v>
      </c>
      <c r="D783" s="21">
        <f t="shared" ca="1" si="139"/>
        <v>10.551180213812099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9.2814511757313838</v>
      </c>
      <c r="C784" s="20">
        <f t="shared" ca="1" si="142"/>
        <v>10.13064135712025</v>
      </c>
      <c r="D784" s="21">
        <f t="shared" ca="1" si="139"/>
        <v>10.13064135712025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9.9783764522137925</v>
      </c>
      <c r="C785" s="20">
        <f t="shared" ca="1" si="142"/>
        <v>10.704974145108395</v>
      </c>
      <c r="D785" s="21">
        <f t="shared" ca="1" si="139"/>
        <v>10.704974145108395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12.142032584601207</v>
      </c>
      <c r="C786" s="20">
        <f t="shared" ca="1" si="142"/>
        <v>6.4005117343817464</v>
      </c>
      <c r="D786" s="21">
        <f t="shared" ca="1" si="139"/>
        <v>6.4005117343817464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14.867832988360863</v>
      </c>
      <c r="C787" s="20">
        <f t="shared" ca="1" si="142"/>
        <v>11.385328378607001</v>
      </c>
      <c r="D787" s="21">
        <f t="shared" ca="1" si="139"/>
        <v>11.385328378607001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6.4206762244937101</v>
      </c>
      <c r="C788" s="20">
        <f t="shared" ca="1" si="142"/>
        <v>12.522999873375568</v>
      </c>
      <c r="D788" s="21">
        <f t="shared" ca="1" si="139"/>
        <v>12.522999873375568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7.1331104170740467</v>
      </c>
      <c r="C789" s="20">
        <f t="shared" ca="1" si="142"/>
        <v>11.434146980659049</v>
      </c>
      <c r="D789" s="21">
        <f t="shared" ca="1" si="139"/>
        <v>11.434146980659049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12.285036545942656</v>
      </c>
      <c r="C790" s="20">
        <f t="shared" ca="1" si="142"/>
        <v>13.239580329738384</v>
      </c>
      <c r="D790" s="21">
        <f t="shared" ca="1" si="139"/>
        <v>13.239580329738384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9.0177301462990158</v>
      </c>
      <c r="C791" s="20">
        <f t="shared" ca="1" si="142"/>
        <v>9.6512669311442867</v>
      </c>
      <c r="D791" s="21">
        <f t="shared" ca="1" si="139"/>
        <v>9.6512669311442867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13.822983359437037</v>
      </c>
      <c r="C792" s="20">
        <f t="shared" ca="1" si="142"/>
        <v>9.1007052239853525</v>
      </c>
      <c r="D792" s="21">
        <f t="shared" ref="D792:G811" ca="1" si="144">IF(AND(ISNUMBER($D$1),$F$1&gt;0,ISNUMBER(D$11),D$11&lt;=$H$1),_xlfn.NORM.INV(RAND(),$D$1,SQRT($F$1)),"")</f>
        <v>9.1007052239853525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7.3753925406121521</v>
      </c>
      <c r="C793" s="20">
        <f t="shared" ca="1" si="142"/>
        <v>11.444170006789017</v>
      </c>
      <c r="D793" s="21">
        <f t="shared" ca="1" si="144"/>
        <v>11.444170006789017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12.331360914127362</v>
      </c>
      <c r="C794" s="20">
        <f t="shared" ca="1" si="142"/>
        <v>7.4326729239747547</v>
      </c>
      <c r="D794" s="21">
        <f t="shared" ca="1" si="144"/>
        <v>7.4326729239747547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10.610367370368236</v>
      </c>
      <c r="C795" s="20">
        <f t="shared" ca="1" si="142"/>
        <v>10.079516252191336</v>
      </c>
      <c r="D795" s="21">
        <f t="shared" ca="1" si="144"/>
        <v>10.079516252191336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10.801662570126279</v>
      </c>
      <c r="C796" s="20">
        <f t="shared" ca="1" si="142"/>
        <v>8.4309483661685949</v>
      </c>
      <c r="D796" s="21">
        <f t="shared" ca="1" si="144"/>
        <v>8.4309483661685949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6.9481943492603637</v>
      </c>
      <c r="C797" s="20">
        <f t="shared" ca="1" si="142"/>
        <v>8.5159130785321473</v>
      </c>
      <c r="D797" s="21">
        <f t="shared" ca="1" si="144"/>
        <v>8.5159130785321473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13.18650300568909</v>
      </c>
      <c r="C798" s="20">
        <f t="shared" ca="1" si="142"/>
        <v>8.7942623865367739</v>
      </c>
      <c r="D798" s="21">
        <f t="shared" ca="1" si="144"/>
        <v>8.7942623865367739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11.705079379182399</v>
      </c>
      <c r="C799" s="20">
        <f t="shared" ca="1" si="142"/>
        <v>12.111819644105848</v>
      </c>
      <c r="D799" s="21">
        <f t="shared" ca="1" si="144"/>
        <v>12.111819644105848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7.5036290261891176</v>
      </c>
      <c r="C800" s="20">
        <f t="shared" ca="1" si="142"/>
        <v>5.6430347943303438</v>
      </c>
      <c r="D800" s="21">
        <f t="shared" ca="1" si="144"/>
        <v>5.6430347943303438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12.203908770970489</v>
      </c>
      <c r="C801" s="20">
        <f t="shared" ca="1" si="142"/>
        <v>13.03568816699382</v>
      </c>
      <c r="D801" s="21">
        <f t="shared" ca="1" si="144"/>
        <v>13.03568816699382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6.8429467568140856</v>
      </c>
      <c r="C802" s="20">
        <f t="shared" ca="1" si="142"/>
        <v>10.691669958394819</v>
      </c>
      <c r="D802" s="21">
        <f t="shared" ca="1" si="144"/>
        <v>10.691669958394819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14.429145192677936</v>
      </c>
      <c r="C803" s="20">
        <f t="shared" ca="1" si="142"/>
        <v>10.051811117620828</v>
      </c>
      <c r="D803" s="21">
        <f t="shared" ca="1" si="144"/>
        <v>10.051811117620828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10.881380396053309</v>
      </c>
      <c r="C804" s="20">
        <f t="shared" ca="1" si="142"/>
        <v>10.286816842060169</v>
      </c>
      <c r="D804" s="21">
        <f t="shared" ca="1" si="144"/>
        <v>10.286816842060169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7.7744368788583103</v>
      </c>
      <c r="C805" s="20">
        <f t="shared" ca="1" si="142"/>
        <v>9.6856949603288687</v>
      </c>
      <c r="D805" s="21">
        <f t="shared" ca="1" si="144"/>
        <v>9.6856949603288687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12.334728440147932</v>
      </c>
      <c r="C806" s="20">
        <f t="shared" ca="1" si="142"/>
        <v>12.053508657641522</v>
      </c>
      <c r="D806" s="21">
        <f t="shared" ca="1" si="144"/>
        <v>12.053508657641522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11.364906578628169</v>
      </c>
      <c r="C807" s="20">
        <f t="shared" ca="1" si="142"/>
        <v>9.2047169660564716</v>
      </c>
      <c r="D807" s="21">
        <f t="shared" ca="1" si="144"/>
        <v>9.2047169660564716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8.8423421584116966</v>
      </c>
      <c r="C808" s="20">
        <f t="shared" ca="1" si="142"/>
        <v>7.9449199060592717</v>
      </c>
      <c r="D808" s="21">
        <f t="shared" ca="1" si="144"/>
        <v>7.9449199060592717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11.405966903590823</v>
      </c>
      <c r="C809" s="20">
        <f t="shared" ca="1" si="142"/>
        <v>13.385109922812852</v>
      </c>
      <c r="D809" s="21">
        <f t="shared" ca="1" si="144"/>
        <v>13.385109922812852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9.3531571398715556</v>
      </c>
      <c r="C810" s="20">
        <f t="shared" ca="1" si="142"/>
        <v>8.8608152642604328</v>
      </c>
      <c r="D810" s="21">
        <f t="shared" ca="1" si="144"/>
        <v>8.8608152642604328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7.7163888630136643</v>
      </c>
      <c r="C811" s="20">
        <f t="shared" ca="1" si="142"/>
        <v>10.435264960253805</v>
      </c>
      <c r="D811" s="21">
        <f t="shared" ca="1" si="144"/>
        <v>10.435264960253805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11.417414286892507</v>
      </c>
      <c r="C812" s="20">
        <f t="shared" ca="1" si="142"/>
        <v>11.568544603691839</v>
      </c>
      <c r="D812" s="21">
        <f t="shared" ref="D812:G831" ca="1" si="147">IF(AND(ISNUMBER($D$1),$F$1&gt;0,ISNUMBER(D$11),D$11&lt;=$H$1),_xlfn.NORM.INV(RAND(),$D$1,SQRT($F$1)),"")</f>
        <v>11.568544603691839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11.166079367685239</v>
      </c>
      <c r="C813" s="20">
        <f t="shared" ca="1" si="142"/>
        <v>11.188636065001301</v>
      </c>
      <c r="D813" s="21">
        <f t="shared" ca="1" si="147"/>
        <v>11.188636065001301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7.6918395066929683</v>
      </c>
      <c r="C814" s="20">
        <f t="shared" ca="1" si="142"/>
        <v>7.5150407694362293</v>
      </c>
      <c r="D814" s="21">
        <f t="shared" ca="1" si="147"/>
        <v>7.5150407694362293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7.0910266997586993</v>
      </c>
      <c r="C815" s="20">
        <f t="shared" ca="1" si="142"/>
        <v>8.3927392908357454</v>
      </c>
      <c r="D815" s="21">
        <f t="shared" ca="1" si="147"/>
        <v>8.3927392908357454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9.9499336557480156</v>
      </c>
      <c r="C816" s="20">
        <f t="shared" ca="1" si="142"/>
        <v>10.758669217988631</v>
      </c>
      <c r="D816" s="21">
        <f t="shared" ca="1" si="147"/>
        <v>10.758669217988631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10.821975971846506</v>
      </c>
      <c r="C817" s="20">
        <f t="shared" ca="1" si="142"/>
        <v>12.937468211197498</v>
      </c>
      <c r="D817" s="21">
        <f t="shared" ca="1" si="147"/>
        <v>12.937468211197498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11.722925699971114</v>
      </c>
      <c r="C818" s="20">
        <f t="shared" ca="1" si="142"/>
        <v>11.029408581040538</v>
      </c>
      <c r="D818" s="21">
        <f t="shared" ca="1" si="147"/>
        <v>11.029408581040538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10.95615415043242</v>
      </c>
      <c r="C819" s="20">
        <f t="shared" ca="1" si="142"/>
        <v>11.294226744433217</v>
      </c>
      <c r="D819" s="21">
        <f t="shared" ca="1" si="147"/>
        <v>11.294226744433217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8.7119307604611471</v>
      </c>
      <c r="C820" s="20">
        <f t="shared" ca="1" si="142"/>
        <v>9.8189914897411086</v>
      </c>
      <c r="D820" s="21">
        <f t="shared" ca="1" si="147"/>
        <v>9.8189914897411086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10.592858675781486</v>
      </c>
      <c r="C821" s="20">
        <f t="shared" ca="1" si="142"/>
        <v>11.387146072930836</v>
      </c>
      <c r="D821" s="21">
        <f t="shared" ca="1" si="147"/>
        <v>11.387146072930836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6.0803192568770825</v>
      </c>
      <c r="C822" s="20">
        <f t="shared" ca="1" si="142"/>
        <v>14.320875851452755</v>
      </c>
      <c r="D822" s="21">
        <f t="shared" ca="1" si="147"/>
        <v>14.320875851452755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11.771366109824438</v>
      </c>
      <c r="C823" s="20">
        <f t="shared" ca="1" si="142"/>
        <v>9.4305902617221502</v>
      </c>
      <c r="D823" s="21">
        <f t="shared" ca="1" si="147"/>
        <v>9.4305902617221502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9.9627838566085689</v>
      </c>
      <c r="C824" s="20">
        <f t="shared" ca="1" si="142"/>
        <v>12.361590656661658</v>
      </c>
      <c r="D824" s="21">
        <f t="shared" ca="1" si="147"/>
        <v>12.361590656661658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9.6431184718363934</v>
      </c>
      <c r="C825" s="20">
        <f t="shared" ca="1" si="142"/>
        <v>8.0297660119220282</v>
      </c>
      <c r="D825" s="21">
        <f t="shared" ca="1" si="147"/>
        <v>8.0297660119220282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10.149011287317967</v>
      </c>
      <c r="C826" s="20">
        <f t="shared" ca="1" si="142"/>
        <v>11.644860090881362</v>
      </c>
      <c r="D826" s="21">
        <f t="shared" ca="1" si="147"/>
        <v>11.644860090881362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11.444163048161796</v>
      </c>
      <c r="C827" s="20">
        <f t="shared" ca="1" si="142"/>
        <v>7.4841080449049597</v>
      </c>
      <c r="D827" s="21">
        <f t="shared" ca="1" si="147"/>
        <v>7.4841080449049597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8.8342090541240594</v>
      </c>
      <c r="C828" s="20">
        <f t="shared" ca="1" si="142"/>
        <v>11.550216262661291</v>
      </c>
      <c r="D828" s="21">
        <f t="shared" ca="1" si="147"/>
        <v>11.550216262661291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12.300864219768032</v>
      </c>
      <c r="C829" s="20">
        <f t="shared" ca="1" si="142"/>
        <v>11.159068970786068</v>
      </c>
      <c r="D829" s="21">
        <f t="shared" ca="1" si="147"/>
        <v>11.159068970786068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9.7470943188820112</v>
      </c>
      <c r="C830" s="20">
        <f t="shared" ca="1" si="142"/>
        <v>8.7232121352169187</v>
      </c>
      <c r="D830" s="21">
        <f t="shared" ca="1" si="147"/>
        <v>8.7232121352169187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13.375837235998869</v>
      </c>
      <c r="C831" s="20">
        <f t="shared" ca="1" si="142"/>
        <v>7.3173559420609866</v>
      </c>
      <c r="D831" s="21">
        <f t="shared" ca="1" si="147"/>
        <v>7.3173559420609866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10.924768133715645</v>
      </c>
      <c r="C832" s="20">
        <f t="shared" ca="1" si="142"/>
        <v>7.4571740939119593</v>
      </c>
      <c r="D832" s="21">
        <f t="shared" ref="D832:G851" ca="1" si="150">IF(AND(ISNUMBER($D$1),$F$1&gt;0,ISNUMBER(D$11),D$11&lt;=$H$1),_xlfn.NORM.INV(RAND(),$D$1,SQRT($F$1)),"")</f>
        <v>7.4571740939119593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12.941095834238038</v>
      </c>
      <c r="C833" s="20">
        <f t="shared" ca="1" si="142"/>
        <v>9.0015105721012958</v>
      </c>
      <c r="D833" s="21">
        <f t="shared" ca="1" si="150"/>
        <v>9.0015105721012958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12.304395359089028</v>
      </c>
      <c r="C834" s="20">
        <f t="shared" ca="1" si="142"/>
        <v>8.9784013508788352</v>
      </c>
      <c r="D834" s="21">
        <f t="shared" ca="1" si="150"/>
        <v>8.9784013508788352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10.999052203924483</v>
      </c>
      <c r="C835" s="20">
        <f t="shared" ca="1" si="142"/>
        <v>15.824436853693893</v>
      </c>
      <c r="D835" s="21">
        <f t="shared" ca="1" si="150"/>
        <v>15.824436853693893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10.751807557455912</v>
      </c>
      <c r="C836" s="20">
        <f t="shared" ca="1" si="142"/>
        <v>11.209164240422997</v>
      </c>
      <c r="D836" s="21">
        <f t="shared" ca="1" si="150"/>
        <v>11.209164240422997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10.87240770763359</v>
      </c>
      <c r="C837" s="20">
        <f t="shared" ca="1" si="142"/>
        <v>13.571602303796414</v>
      </c>
      <c r="D837" s="21">
        <f t="shared" ca="1" si="150"/>
        <v>13.571602303796414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13.319700127359104</v>
      </c>
      <c r="C838" s="20">
        <f t="shared" ca="1" si="142"/>
        <v>7.6960055304505453</v>
      </c>
      <c r="D838" s="21">
        <f t="shared" ca="1" si="150"/>
        <v>7.6960055304505453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10.363945301162776</v>
      </c>
      <c r="C839" s="20">
        <f t="shared" ca="1" si="142"/>
        <v>9.5649523192291177</v>
      </c>
      <c r="D839" s="21">
        <f t="shared" ca="1" si="150"/>
        <v>9.5649523192291177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8.3496156795677052</v>
      </c>
      <c r="C840" s="20">
        <f t="shared" ca="1" si="142"/>
        <v>8.7281704764687955</v>
      </c>
      <c r="D840" s="21">
        <f t="shared" ca="1" si="150"/>
        <v>8.7281704764687955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11.103444184059031</v>
      </c>
      <c r="C841" s="20">
        <f t="shared" ca="1" si="142"/>
        <v>7.2459394887361839</v>
      </c>
      <c r="D841" s="21">
        <f t="shared" ca="1" si="150"/>
        <v>7.2459394887361839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8.6137673726607353</v>
      </c>
      <c r="C842" s="20">
        <f t="shared" ca="1" si="142"/>
        <v>9.8974694127734058</v>
      </c>
      <c r="D842" s="21">
        <f t="shared" ca="1" si="150"/>
        <v>9.8974694127734058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11.461044115280885</v>
      </c>
      <c r="C843" s="20">
        <f t="shared" ca="1" si="142"/>
        <v>8.0430762521149042</v>
      </c>
      <c r="D843" s="21">
        <f t="shared" ca="1" si="150"/>
        <v>8.0430762521149042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7.0974081799661093</v>
      </c>
      <c r="C844" s="20">
        <f t="shared" ca="1" si="142"/>
        <v>9.4031860390127893</v>
      </c>
      <c r="D844" s="21">
        <f t="shared" ca="1" si="150"/>
        <v>9.4031860390127893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12.546757620974766</v>
      </c>
      <c r="C845" s="20">
        <f t="shared" ref="C845:C908" ca="1" si="154">IF(AND($H$1&gt;=1,ISNUMBER(D845)),AVERAGE(D845:W845),"")</f>
        <v>7.561653786390873</v>
      </c>
      <c r="D845" s="21">
        <f t="shared" ca="1" si="150"/>
        <v>7.561653786390873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8.155396826615954</v>
      </c>
      <c r="C846" s="20">
        <f t="shared" ca="1" si="154"/>
        <v>10.046087695280743</v>
      </c>
      <c r="D846" s="21">
        <f t="shared" ca="1" si="150"/>
        <v>10.046087695280743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8.5569982311187722</v>
      </c>
      <c r="C847" s="20">
        <f t="shared" ca="1" si="154"/>
        <v>10.655853063529223</v>
      </c>
      <c r="D847" s="21">
        <f t="shared" ca="1" si="150"/>
        <v>10.655853063529223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9.6072710097721057</v>
      </c>
      <c r="C848" s="20">
        <f t="shared" ca="1" si="154"/>
        <v>3.6014512268702763</v>
      </c>
      <c r="D848" s="21">
        <f t="shared" ca="1" si="150"/>
        <v>3.6014512268702763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9.4437901740744898</v>
      </c>
      <c r="C849" s="20">
        <f t="shared" ca="1" si="154"/>
        <v>9.9829949524953605</v>
      </c>
      <c r="D849" s="21">
        <f t="shared" ca="1" si="150"/>
        <v>9.9829949524953605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13.966458266628774</v>
      </c>
      <c r="C850" s="20">
        <f t="shared" ca="1" si="154"/>
        <v>7.9251057678249772</v>
      </c>
      <c r="D850" s="21">
        <f t="shared" ca="1" si="150"/>
        <v>7.9251057678249772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8.4578952170317496</v>
      </c>
      <c r="C851" s="20">
        <f t="shared" ca="1" si="154"/>
        <v>10.739055426510177</v>
      </c>
      <c r="D851" s="21">
        <f t="shared" ca="1" si="150"/>
        <v>10.739055426510177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6.9885907705280541</v>
      </c>
      <c r="C852" s="20">
        <f t="shared" ca="1" si="154"/>
        <v>13.097273761673755</v>
      </c>
      <c r="D852" s="21">
        <f t="shared" ref="D852:G871" ca="1" si="155">IF(AND(ISNUMBER($D$1),$F$1&gt;0,ISNUMBER(D$11),D$11&lt;=$H$1),_xlfn.NORM.INV(RAND(),$D$1,SQRT($F$1)),"")</f>
        <v>13.097273761673755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12.770666126670898</v>
      </c>
      <c r="C853" s="20">
        <f t="shared" ca="1" si="154"/>
        <v>7.7515383422203357</v>
      </c>
      <c r="D853" s="21">
        <f t="shared" ca="1" si="155"/>
        <v>7.7515383422203357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14.116673840769501</v>
      </c>
      <c r="C854" s="20">
        <f t="shared" ca="1" si="154"/>
        <v>7.6430570769406909</v>
      </c>
      <c r="D854" s="21">
        <f t="shared" ca="1" si="155"/>
        <v>7.6430570769406909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8.1778919387065905</v>
      </c>
      <c r="C855" s="20">
        <f t="shared" ca="1" si="154"/>
        <v>7.6842088412101521</v>
      </c>
      <c r="D855" s="21">
        <f t="shared" ca="1" si="155"/>
        <v>7.6842088412101521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8.9498861089111497</v>
      </c>
      <c r="C856" s="20">
        <f t="shared" ca="1" si="154"/>
        <v>9.5938721641597393</v>
      </c>
      <c r="D856" s="21">
        <f t="shared" ca="1" si="155"/>
        <v>9.5938721641597393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10.683092904974373</v>
      </c>
      <c r="C857" s="20">
        <f t="shared" ca="1" si="154"/>
        <v>11.797291786783161</v>
      </c>
      <c r="D857" s="21">
        <f t="shared" ca="1" si="155"/>
        <v>11.797291786783161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9.2532803574075988</v>
      </c>
      <c r="C858" s="20">
        <f t="shared" ca="1" si="154"/>
        <v>8.2384498969719626</v>
      </c>
      <c r="D858" s="21">
        <f t="shared" ca="1" si="155"/>
        <v>8.2384498969719626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9.0166336657351174</v>
      </c>
      <c r="C859" s="20">
        <f t="shared" ca="1" si="154"/>
        <v>11.866660492997715</v>
      </c>
      <c r="D859" s="21">
        <f t="shared" ca="1" si="155"/>
        <v>11.866660492997715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9.2234892202083572</v>
      </c>
      <c r="C860" s="20">
        <f t="shared" ca="1" si="154"/>
        <v>9.5735967714594157</v>
      </c>
      <c r="D860" s="21">
        <f t="shared" ca="1" si="155"/>
        <v>9.5735967714594157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8.6912514259253744</v>
      </c>
      <c r="C861" s="20">
        <f t="shared" ca="1" si="154"/>
        <v>6.160781850035101</v>
      </c>
      <c r="D861" s="21">
        <f t="shared" ca="1" si="155"/>
        <v>6.160781850035101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11.398400381680334</v>
      </c>
      <c r="C862" s="20">
        <f t="shared" ca="1" si="154"/>
        <v>11.932291481712726</v>
      </c>
      <c r="D862" s="21">
        <f t="shared" ca="1" si="155"/>
        <v>11.932291481712726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11.413556603856259</v>
      </c>
      <c r="C863" s="20">
        <f t="shared" ca="1" si="154"/>
        <v>8.4187984244880489</v>
      </c>
      <c r="D863" s="21">
        <f t="shared" ca="1" si="155"/>
        <v>8.4187984244880489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12.665944932935309</v>
      </c>
      <c r="C864" s="20">
        <f t="shared" ca="1" si="154"/>
        <v>9.0529022916390094</v>
      </c>
      <c r="D864" s="21">
        <f t="shared" ca="1" si="155"/>
        <v>9.0529022916390094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10.183854878050189</v>
      </c>
      <c r="C865" s="20">
        <f t="shared" ca="1" si="154"/>
        <v>6.941471860215346</v>
      </c>
      <c r="D865" s="21">
        <f t="shared" ca="1" si="155"/>
        <v>6.941471860215346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8.5020594177458459</v>
      </c>
      <c r="C866" s="20">
        <f t="shared" ca="1" si="154"/>
        <v>11.238698107823087</v>
      </c>
      <c r="D866" s="21">
        <f t="shared" ca="1" si="155"/>
        <v>11.238698107823087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13.614874499883722</v>
      </c>
      <c r="C867" s="20">
        <f t="shared" ca="1" si="154"/>
        <v>11.352176524342642</v>
      </c>
      <c r="D867" s="21">
        <f t="shared" ca="1" si="155"/>
        <v>11.352176524342642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10.213480685176547</v>
      </c>
      <c r="C868" s="20">
        <f t="shared" ca="1" si="154"/>
        <v>11.937846585470343</v>
      </c>
      <c r="D868" s="21">
        <f t="shared" ca="1" si="155"/>
        <v>11.937846585470343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9.6218532430018122</v>
      </c>
      <c r="C869" s="20">
        <f t="shared" ca="1" si="154"/>
        <v>10.244541294066579</v>
      </c>
      <c r="D869" s="21">
        <f t="shared" ca="1" si="155"/>
        <v>10.244541294066579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10.087913903238601</v>
      </c>
      <c r="C870" s="20">
        <f t="shared" ca="1" si="154"/>
        <v>7.947562361579533</v>
      </c>
      <c r="D870" s="21">
        <f t="shared" ca="1" si="155"/>
        <v>7.947562361579533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10.942536906662472</v>
      </c>
      <c r="C871" s="20">
        <f t="shared" ca="1" si="154"/>
        <v>10.628253420073673</v>
      </c>
      <c r="D871" s="21">
        <f t="shared" ca="1" si="155"/>
        <v>10.628253420073673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10.958431999145587</v>
      </c>
      <c r="C872" s="20">
        <f t="shared" ca="1" si="154"/>
        <v>9.0609144143219709</v>
      </c>
      <c r="D872" s="21">
        <f t="shared" ref="D872:G891" ca="1" si="158">IF(AND(ISNUMBER($D$1),$F$1&gt;0,ISNUMBER(D$11),D$11&lt;=$H$1),_xlfn.NORM.INV(RAND(),$D$1,SQRT($F$1)),"")</f>
        <v>9.0609144143219709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11.106521561815942</v>
      </c>
      <c r="C873" s="20">
        <f t="shared" ca="1" si="154"/>
        <v>9.3333813806495325</v>
      </c>
      <c r="D873" s="21">
        <f t="shared" ca="1" si="158"/>
        <v>9.3333813806495325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12.161146363282628</v>
      </c>
      <c r="C874" s="20">
        <f t="shared" ca="1" si="154"/>
        <v>10.33723532533485</v>
      </c>
      <c r="D874" s="21">
        <f t="shared" ca="1" si="158"/>
        <v>10.33723532533485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7.5564025771179857</v>
      </c>
      <c r="C875" s="20">
        <f t="shared" ca="1" si="154"/>
        <v>7.7150979197881977</v>
      </c>
      <c r="D875" s="21">
        <f t="shared" ca="1" si="158"/>
        <v>7.7150979197881977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9.1830189032794394</v>
      </c>
      <c r="C876" s="20">
        <f t="shared" ca="1" si="154"/>
        <v>10.607289440702626</v>
      </c>
      <c r="D876" s="21">
        <f t="shared" ca="1" si="158"/>
        <v>10.607289440702626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7.6223053908163685</v>
      </c>
      <c r="C877" s="20">
        <f t="shared" ca="1" si="154"/>
        <v>10.295366786013458</v>
      </c>
      <c r="D877" s="21">
        <f t="shared" ca="1" si="158"/>
        <v>10.295366786013458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10.039683393598139</v>
      </c>
      <c r="C878" s="20">
        <f t="shared" ca="1" si="154"/>
        <v>10.204117533719039</v>
      </c>
      <c r="D878" s="21">
        <f t="shared" ca="1" si="158"/>
        <v>10.204117533719039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12.990572730704887</v>
      </c>
      <c r="C879" s="20">
        <f t="shared" ca="1" si="154"/>
        <v>9.0464388798633344</v>
      </c>
      <c r="D879" s="21">
        <f t="shared" ca="1" si="158"/>
        <v>9.0464388798633344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11.4315768512994</v>
      </c>
      <c r="C880" s="20">
        <f t="shared" ca="1" si="154"/>
        <v>6.4443501889105423</v>
      </c>
      <c r="D880" s="21">
        <f t="shared" ca="1" si="158"/>
        <v>6.4443501889105423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10.589927884108718</v>
      </c>
      <c r="C881" s="20">
        <f t="shared" ca="1" si="154"/>
        <v>10.949825946480088</v>
      </c>
      <c r="D881" s="21">
        <f t="shared" ca="1" si="158"/>
        <v>10.949825946480088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11.129102250582081</v>
      </c>
      <c r="C882" s="20">
        <f t="shared" ca="1" si="154"/>
        <v>10.136217107394664</v>
      </c>
      <c r="D882" s="21">
        <f t="shared" ca="1" si="158"/>
        <v>10.136217107394664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6.65328056673882</v>
      </c>
      <c r="C883" s="20">
        <f t="shared" ca="1" si="154"/>
        <v>8.2995163841816346</v>
      </c>
      <c r="D883" s="21">
        <f t="shared" ca="1" si="158"/>
        <v>8.2995163841816346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11.211796600409278</v>
      </c>
      <c r="C884" s="20">
        <f t="shared" ca="1" si="154"/>
        <v>8.64062050569642</v>
      </c>
      <c r="D884" s="21">
        <f t="shared" ca="1" si="158"/>
        <v>8.64062050569642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5.6101277265099423</v>
      </c>
      <c r="C885" s="20">
        <f t="shared" ca="1" si="154"/>
        <v>8.3855759150985261</v>
      </c>
      <c r="D885" s="21">
        <f t="shared" ca="1" si="158"/>
        <v>8.3855759150985261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11.548443823743469</v>
      </c>
      <c r="C886" s="20">
        <f t="shared" ca="1" si="154"/>
        <v>10.421996352337029</v>
      </c>
      <c r="D886" s="21">
        <f t="shared" ca="1" si="158"/>
        <v>10.421996352337029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9.183548157175542</v>
      </c>
      <c r="C887" s="20">
        <f t="shared" ca="1" si="154"/>
        <v>7.5603464617609726</v>
      </c>
      <c r="D887" s="21">
        <f t="shared" ca="1" si="158"/>
        <v>7.5603464617609726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12.207338717956135</v>
      </c>
      <c r="C888" s="20">
        <f t="shared" ca="1" si="154"/>
        <v>5.2234228162285943</v>
      </c>
      <c r="D888" s="21">
        <f t="shared" ca="1" si="158"/>
        <v>5.2234228162285943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9.8662763034336383</v>
      </c>
      <c r="C889" s="20">
        <f t="shared" ca="1" si="154"/>
        <v>10.375472185519614</v>
      </c>
      <c r="D889" s="21">
        <f t="shared" ca="1" si="158"/>
        <v>10.375472185519614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9.7783135737192453</v>
      </c>
      <c r="C890" s="20">
        <f t="shared" ca="1" si="154"/>
        <v>9.3455102259160618</v>
      </c>
      <c r="D890" s="21">
        <f t="shared" ca="1" si="158"/>
        <v>9.3455102259160618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12.011842043968899</v>
      </c>
      <c r="C891" s="20">
        <f t="shared" ca="1" si="154"/>
        <v>8.5026423703821994</v>
      </c>
      <c r="D891" s="21">
        <f t="shared" ca="1" si="158"/>
        <v>8.5026423703821994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5.9372443132662935</v>
      </c>
      <c r="C892" s="20">
        <f t="shared" ca="1" si="154"/>
        <v>5.2241169907120542</v>
      </c>
      <c r="D892" s="21">
        <f t="shared" ref="D892:G911" ca="1" si="161">IF(AND(ISNUMBER($D$1),$F$1&gt;0,ISNUMBER(D$11),D$11&lt;=$H$1),_xlfn.NORM.INV(RAND(),$D$1,SQRT($F$1)),"")</f>
        <v>5.2241169907120542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12.973976750927246</v>
      </c>
      <c r="C893" s="20">
        <f t="shared" ca="1" si="154"/>
        <v>10.524130542074317</v>
      </c>
      <c r="D893" s="21">
        <f t="shared" ca="1" si="161"/>
        <v>10.524130542074317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9.9742682780223557</v>
      </c>
      <c r="C894" s="20">
        <f t="shared" ca="1" si="154"/>
        <v>11.893216251367273</v>
      </c>
      <c r="D894" s="21">
        <f t="shared" ca="1" si="161"/>
        <v>11.893216251367273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7.2266722530400154</v>
      </c>
      <c r="C895" s="20">
        <f t="shared" ca="1" si="154"/>
        <v>11.621819019396488</v>
      </c>
      <c r="D895" s="21">
        <f t="shared" ca="1" si="161"/>
        <v>11.621819019396488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13.228829619496747</v>
      </c>
      <c r="C896" s="20">
        <f t="shared" ca="1" si="154"/>
        <v>10.477993512283351</v>
      </c>
      <c r="D896" s="21">
        <f t="shared" ca="1" si="161"/>
        <v>10.477993512283351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11.042126615067575</v>
      </c>
      <c r="C897" s="20">
        <f t="shared" ca="1" si="154"/>
        <v>5.0144218297742222</v>
      </c>
      <c r="D897" s="21">
        <f t="shared" ca="1" si="161"/>
        <v>5.0144218297742222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7.1120701840960905</v>
      </c>
      <c r="C898" s="20">
        <f t="shared" ca="1" si="154"/>
        <v>11.400536531623398</v>
      </c>
      <c r="D898" s="21">
        <f t="shared" ca="1" si="161"/>
        <v>11.400536531623398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10.554296749033817</v>
      </c>
      <c r="C899" s="20">
        <f t="shared" ca="1" si="154"/>
        <v>13.851511672818665</v>
      </c>
      <c r="D899" s="21">
        <f t="shared" ca="1" si="161"/>
        <v>13.851511672818665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8.693235826683928</v>
      </c>
      <c r="C900" s="20">
        <f t="shared" ca="1" si="154"/>
        <v>13.193368379118676</v>
      </c>
      <c r="D900" s="21">
        <f t="shared" ca="1" si="161"/>
        <v>13.193368379118676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9.1605769330196747</v>
      </c>
      <c r="C901" s="20">
        <f t="shared" ca="1" si="154"/>
        <v>10.142763693604278</v>
      </c>
      <c r="D901" s="21">
        <f t="shared" ca="1" si="161"/>
        <v>10.142763693604278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7.949264798552635</v>
      </c>
      <c r="C902" s="20">
        <f t="shared" ca="1" si="154"/>
        <v>6.9528282847839673</v>
      </c>
      <c r="D902" s="21">
        <f t="shared" ca="1" si="161"/>
        <v>6.9528282847839673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8.5074819469440222</v>
      </c>
      <c r="C903" s="20">
        <f t="shared" ca="1" si="154"/>
        <v>10.576915201449854</v>
      </c>
      <c r="D903" s="21">
        <f t="shared" ca="1" si="161"/>
        <v>10.576915201449854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7.265523225618014</v>
      </c>
      <c r="C904" s="20">
        <f t="shared" ca="1" si="154"/>
        <v>12.371899792047218</v>
      </c>
      <c r="D904" s="21">
        <f t="shared" ca="1" si="161"/>
        <v>12.371899792047218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9.9004206195972682</v>
      </c>
      <c r="C905" s="20">
        <f t="shared" ca="1" si="154"/>
        <v>11.337733749136159</v>
      </c>
      <c r="D905" s="21">
        <f t="shared" ca="1" si="161"/>
        <v>11.337733749136159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9.126433656165915</v>
      </c>
      <c r="C906" s="20">
        <f t="shared" ca="1" si="154"/>
        <v>13.10685096822494</v>
      </c>
      <c r="D906" s="21">
        <f t="shared" ca="1" si="161"/>
        <v>13.10685096822494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7.8270096412610028</v>
      </c>
      <c r="C907" s="20">
        <f t="shared" ca="1" si="154"/>
        <v>8.5837673047784708</v>
      </c>
      <c r="D907" s="21">
        <f t="shared" ca="1" si="161"/>
        <v>8.5837673047784708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13.045818693166112</v>
      </c>
      <c r="C908" s="20">
        <f t="shared" ca="1" si="154"/>
        <v>9.7531473672968829</v>
      </c>
      <c r="D908" s="21">
        <f t="shared" ca="1" si="161"/>
        <v>9.7531473672968829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8.1673982540722765</v>
      </c>
      <c r="C909" s="20">
        <f t="shared" ref="C909:C972" ca="1" si="165">IF(AND($H$1&gt;=1,ISNUMBER(D909)),AVERAGE(D909:W909),"")</f>
        <v>11.212818691524371</v>
      </c>
      <c r="D909" s="21">
        <f t="shared" ca="1" si="161"/>
        <v>11.212818691524371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10.675071932449798</v>
      </c>
      <c r="C910" s="20">
        <f t="shared" ca="1" si="165"/>
        <v>11.43211657823767</v>
      </c>
      <c r="D910" s="21">
        <f t="shared" ca="1" si="161"/>
        <v>11.43211657823767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10.528048642599417</v>
      </c>
      <c r="C911" s="20">
        <f t="shared" ca="1" si="165"/>
        <v>8.2686258139118909</v>
      </c>
      <c r="D911" s="21">
        <f t="shared" ca="1" si="161"/>
        <v>8.2686258139118909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7.4295441486682812</v>
      </c>
      <c r="C912" s="20">
        <f t="shared" ca="1" si="165"/>
        <v>10.395554756950641</v>
      </c>
      <c r="D912" s="21">
        <f t="shared" ref="D912:G931" ca="1" si="166">IF(AND(ISNUMBER($D$1),$F$1&gt;0,ISNUMBER(D$11),D$11&lt;=$H$1),_xlfn.NORM.INV(RAND(),$D$1,SQRT($F$1)),"")</f>
        <v>10.395554756950641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10.275133871321872</v>
      </c>
      <c r="C913" s="20">
        <f t="shared" ca="1" si="165"/>
        <v>13.634994411886943</v>
      </c>
      <c r="D913" s="21">
        <f t="shared" ca="1" si="166"/>
        <v>13.634994411886943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9.7726360326778767</v>
      </c>
      <c r="C914" s="20">
        <f t="shared" ca="1" si="165"/>
        <v>11.743479280670719</v>
      </c>
      <c r="D914" s="21">
        <f t="shared" ca="1" si="166"/>
        <v>11.743479280670719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9.626566367784342</v>
      </c>
      <c r="C915" s="20">
        <f t="shared" ca="1" si="165"/>
        <v>8.9432634234456252</v>
      </c>
      <c r="D915" s="21">
        <f t="shared" ca="1" si="166"/>
        <v>8.9432634234456252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9.3298691593061243</v>
      </c>
      <c r="C916" s="20">
        <f t="shared" ca="1" si="165"/>
        <v>11.330255182186505</v>
      </c>
      <c r="D916" s="21">
        <f t="shared" ca="1" si="166"/>
        <v>11.330255182186505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11.082283017199375</v>
      </c>
      <c r="C917" s="20">
        <f t="shared" ca="1" si="165"/>
        <v>10.478712910846573</v>
      </c>
      <c r="D917" s="21">
        <f t="shared" ca="1" si="166"/>
        <v>10.478712910846573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9.4778732584189953</v>
      </c>
      <c r="C918" s="20">
        <f t="shared" ca="1" si="165"/>
        <v>12.010649389373288</v>
      </c>
      <c r="D918" s="21">
        <f t="shared" ca="1" si="166"/>
        <v>12.010649389373288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10.66122724572508</v>
      </c>
      <c r="C919" s="20">
        <f t="shared" ca="1" si="165"/>
        <v>11.293360039082582</v>
      </c>
      <c r="D919" s="21">
        <f t="shared" ca="1" si="166"/>
        <v>11.293360039082582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10.315071069418664</v>
      </c>
      <c r="C920" s="20">
        <f t="shared" ca="1" si="165"/>
        <v>11.602019387870516</v>
      </c>
      <c r="D920" s="21">
        <f t="shared" ca="1" si="166"/>
        <v>11.602019387870516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9.6506410399379234</v>
      </c>
      <c r="C921" s="20">
        <f t="shared" ca="1" si="165"/>
        <v>11.690942371352449</v>
      </c>
      <c r="D921" s="21">
        <f t="shared" ca="1" si="166"/>
        <v>11.690942371352449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7.0517285570914776</v>
      </c>
      <c r="C922" s="20">
        <f t="shared" ca="1" si="165"/>
        <v>8.1574257584955809</v>
      </c>
      <c r="D922" s="21">
        <f t="shared" ca="1" si="166"/>
        <v>8.1574257584955809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9.0534070491316818</v>
      </c>
      <c r="C923" s="20">
        <f t="shared" ca="1" si="165"/>
        <v>10.383161852733716</v>
      </c>
      <c r="D923" s="21">
        <f t="shared" ca="1" si="166"/>
        <v>10.383161852733716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14.658312544499886</v>
      </c>
      <c r="C924" s="20">
        <f t="shared" ca="1" si="165"/>
        <v>11.556318121507415</v>
      </c>
      <c r="D924" s="21">
        <f t="shared" ca="1" si="166"/>
        <v>11.556318121507415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5.4276110778484306</v>
      </c>
      <c r="C925" s="20">
        <f t="shared" ca="1" si="165"/>
        <v>6.9953066213667849</v>
      </c>
      <c r="D925" s="21">
        <f t="shared" ca="1" si="166"/>
        <v>6.9953066213667849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8.9716471117951535</v>
      </c>
      <c r="C926" s="20">
        <f t="shared" ca="1" si="165"/>
        <v>10.889408640705344</v>
      </c>
      <c r="D926" s="21">
        <f t="shared" ca="1" si="166"/>
        <v>10.889408640705344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8.7290783998149344</v>
      </c>
      <c r="C927" s="20">
        <f t="shared" ca="1" si="165"/>
        <v>8.5110801125924276</v>
      </c>
      <c r="D927" s="21">
        <f t="shared" ca="1" si="166"/>
        <v>8.5110801125924276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8.721440540421785</v>
      </c>
      <c r="C928" s="20">
        <f t="shared" ca="1" si="165"/>
        <v>11.170107203375357</v>
      </c>
      <c r="D928" s="21">
        <f t="shared" ca="1" si="166"/>
        <v>11.170107203375357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5.0979044059916685</v>
      </c>
      <c r="C929" s="20">
        <f t="shared" ca="1" si="165"/>
        <v>8.2518319599479835</v>
      </c>
      <c r="D929" s="21">
        <f t="shared" ca="1" si="166"/>
        <v>8.2518319599479835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8.9715939919461114</v>
      </c>
      <c r="C930" s="20">
        <f t="shared" ca="1" si="165"/>
        <v>8.0846570066297492</v>
      </c>
      <c r="D930" s="21">
        <f t="shared" ca="1" si="166"/>
        <v>8.0846570066297492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10.632508246059949</v>
      </c>
      <c r="C931" s="20">
        <f t="shared" ca="1" si="165"/>
        <v>12.708611073470184</v>
      </c>
      <c r="D931" s="21">
        <f t="shared" ca="1" si="166"/>
        <v>12.708611073470184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5.0822598447460141</v>
      </c>
      <c r="C932" s="20">
        <f t="shared" ca="1" si="165"/>
        <v>11.263771980081623</v>
      </c>
      <c r="D932" s="21">
        <f t="shared" ref="D932:G951" ca="1" si="169">IF(AND(ISNUMBER($D$1),$F$1&gt;0,ISNUMBER(D$11),D$11&lt;=$H$1),_xlfn.NORM.INV(RAND(),$D$1,SQRT($F$1)),"")</f>
        <v>11.263771980081623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8.7926893703755056</v>
      </c>
      <c r="C933" s="20">
        <f t="shared" ca="1" si="165"/>
        <v>8.3665899363081344</v>
      </c>
      <c r="D933" s="21">
        <f t="shared" ca="1" si="169"/>
        <v>8.3665899363081344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12.401813239253933</v>
      </c>
      <c r="C934" s="20">
        <f t="shared" ca="1" si="165"/>
        <v>9.7058940838243277</v>
      </c>
      <c r="D934" s="21">
        <f t="shared" ca="1" si="169"/>
        <v>9.7058940838243277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9.5110292893397599</v>
      </c>
      <c r="C935" s="20">
        <f t="shared" ca="1" si="165"/>
        <v>13.386870795491618</v>
      </c>
      <c r="D935" s="21">
        <f t="shared" ca="1" si="169"/>
        <v>13.386870795491618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9.3701985989469669</v>
      </c>
      <c r="C936" s="20">
        <f t="shared" ca="1" si="165"/>
        <v>12.117259519865883</v>
      </c>
      <c r="D936" s="21">
        <f t="shared" ca="1" si="169"/>
        <v>12.117259519865883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10.631241848439657</v>
      </c>
      <c r="C937" s="20">
        <f t="shared" ca="1" si="165"/>
        <v>10.932532214559721</v>
      </c>
      <c r="D937" s="21">
        <f t="shared" ca="1" si="169"/>
        <v>10.932532214559721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9.0140049096862587</v>
      </c>
      <c r="C938" s="20">
        <f t="shared" ca="1" si="165"/>
        <v>9.235855958836698</v>
      </c>
      <c r="D938" s="21">
        <f t="shared" ca="1" si="169"/>
        <v>9.235855958836698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10.814830166570601</v>
      </c>
      <c r="C939" s="20">
        <f t="shared" ca="1" si="165"/>
        <v>10.043099910633289</v>
      </c>
      <c r="D939" s="21">
        <f t="shared" ca="1" si="169"/>
        <v>10.043099910633289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11.273097092527657</v>
      </c>
      <c r="C940" s="20">
        <f t="shared" ca="1" si="165"/>
        <v>13.136603783819954</v>
      </c>
      <c r="D940" s="21">
        <f t="shared" ca="1" si="169"/>
        <v>13.136603783819954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8.6419403238887291</v>
      </c>
      <c r="C941" s="20">
        <f t="shared" ca="1" si="165"/>
        <v>10.504486790586791</v>
      </c>
      <c r="D941" s="21">
        <f t="shared" ca="1" si="169"/>
        <v>10.504486790586791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9.7991508739156732</v>
      </c>
      <c r="C942" s="20">
        <f t="shared" ca="1" si="165"/>
        <v>13.681240991141507</v>
      </c>
      <c r="D942" s="21">
        <f t="shared" ca="1" si="169"/>
        <v>13.681240991141507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10.369712078804069</v>
      </c>
      <c r="C943" s="20">
        <f t="shared" ca="1" si="165"/>
        <v>6.8737880298027969</v>
      </c>
      <c r="D943" s="21">
        <f t="shared" ca="1" si="169"/>
        <v>6.8737880298027969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11.414014260009919</v>
      </c>
      <c r="C944" s="20">
        <f t="shared" ca="1" si="165"/>
        <v>10.848720221972364</v>
      </c>
      <c r="D944" s="21">
        <f t="shared" ca="1" si="169"/>
        <v>10.848720221972364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13.157024875837415</v>
      </c>
      <c r="C945" s="20">
        <f t="shared" ca="1" si="165"/>
        <v>11.148026864642654</v>
      </c>
      <c r="D945" s="21">
        <f t="shared" ca="1" si="169"/>
        <v>11.148026864642654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10.427758551002341</v>
      </c>
      <c r="C946" s="20">
        <f t="shared" ca="1" si="165"/>
        <v>8.6426441076845695</v>
      </c>
      <c r="D946" s="21">
        <f t="shared" ca="1" si="169"/>
        <v>8.6426441076845695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10.617141319690676</v>
      </c>
      <c r="C947" s="20">
        <f t="shared" ca="1" si="165"/>
        <v>9.1375096634309525</v>
      </c>
      <c r="D947" s="21">
        <f t="shared" ca="1" si="169"/>
        <v>9.1375096634309525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7.1403317165511915</v>
      </c>
      <c r="C948" s="20">
        <f t="shared" ca="1" si="165"/>
        <v>6.8258949840138889</v>
      </c>
      <c r="D948" s="21">
        <f t="shared" ca="1" si="169"/>
        <v>6.8258949840138889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9.5073019231122746</v>
      </c>
      <c r="C949" s="20">
        <f t="shared" ca="1" si="165"/>
        <v>9.0223468714833768</v>
      </c>
      <c r="D949" s="21">
        <f t="shared" ca="1" si="169"/>
        <v>9.0223468714833768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7.7927993902617132</v>
      </c>
      <c r="C950" s="20">
        <f t="shared" ca="1" si="165"/>
        <v>5.8254226047829318</v>
      </c>
      <c r="D950" s="21">
        <f t="shared" ca="1" si="169"/>
        <v>5.8254226047829318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6.6764110562790826</v>
      </c>
      <c r="C951" s="20">
        <f t="shared" ca="1" si="165"/>
        <v>9.8824559465943782</v>
      </c>
      <c r="D951" s="21">
        <f t="shared" ca="1" si="169"/>
        <v>9.8824559465943782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7.3320604051491589</v>
      </c>
      <c r="C952" s="20">
        <f t="shared" ca="1" si="165"/>
        <v>10.797176101696843</v>
      </c>
      <c r="D952" s="21">
        <f t="shared" ref="D952:G971" ca="1" si="172">IF(AND(ISNUMBER($D$1),$F$1&gt;0,ISNUMBER(D$11),D$11&lt;=$H$1),_xlfn.NORM.INV(RAND(),$D$1,SQRT($F$1)),"")</f>
        <v>10.797176101696843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8.1796983575677267</v>
      </c>
      <c r="C953" s="20">
        <f t="shared" ca="1" si="165"/>
        <v>13.862462544271631</v>
      </c>
      <c r="D953" s="21">
        <f t="shared" ca="1" si="172"/>
        <v>13.862462544271631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10.180611068350945</v>
      </c>
      <c r="C954" s="20">
        <f t="shared" ca="1" si="165"/>
        <v>9.4172148061368084</v>
      </c>
      <c r="D954" s="21">
        <f t="shared" ca="1" si="172"/>
        <v>9.4172148061368084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7.8561160975303617</v>
      </c>
      <c r="C955" s="20">
        <f t="shared" ca="1" si="165"/>
        <v>9.2563568921829518</v>
      </c>
      <c r="D955" s="21">
        <f t="shared" ca="1" si="172"/>
        <v>9.2563568921829518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12.461315338172627</v>
      </c>
      <c r="C956" s="20">
        <f t="shared" ca="1" si="165"/>
        <v>12.758620230841103</v>
      </c>
      <c r="D956" s="21">
        <f t="shared" ca="1" si="172"/>
        <v>12.758620230841103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13.83543653860905</v>
      </c>
      <c r="C957" s="20">
        <f t="shared" ca="1" si="165"/>
        <v>9.500476832374332</v>
      </c>
      <c r="D957" s="21">
        <f t="shared" ca="1" si="172"/>
        <v>9.500476832374332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11.574723619435929</v>
      </c>
      <c r="C958" s="20">
        <f t="shared" ca="1" si="165"/>
        <v>6.186589290607083</v>
      </c>
      <c r="D958" s="21">
        <f t="shared" ca="1" si="172"/>
        <v>6.186589290607083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11.695777277598998</v>
      </c>
      <c r="C959" s="20">
        <f t="shared" ca="1" si="165"/>
        <v>10.452523188124063</v>
      </c>
      <c r="D959" s="21">
        <f t="shared" ca="1" si="172"/>
        <v>10.452523188124063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10.965973829924563</v>
      </c>
      <c r="C960" s="20">
        <f t="shared" ca="1" si="165"/>
        <v>6.9097834628575399</v>
      </c>
      <c r="D960" s="21">
        <f t="shared" ca="1" si="172"/>
        <v>6.9097834628575399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13.413983383555566</v>
      </c>
      <c r="C961" s="20">
        <f t="shared" ca="1" si="165"/>
        <v>7.8439858402070328</v>
      </c>
      <c r="D961" s="21">
        <f t="shared" ca="1" si="172"/>
        <v>7.8439858402070328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7.6826797539418745</v>
      </c>
      <c r="C962" s="20">
        <f t="shared" ca="1" si="165"/>
        <v>11.700296966251809</v>
      </c>
      <c r="D962" s="21">
        <f t="shared" ca="1" si="172"/>
        <v>11.700296966251809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9.2839106370555484</v>
      </c>
      <c r="C963" s="20">
        <f t="shared" ca="1" si="165"/>
        <v>9.4656080593410081</v>
      </c>
      <c r="D963" s="21">
        <f t="shared" ca="1" si="172"/>
        <v>9.4656080593410081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14.441300645191784</v>
      </c>
      <c r="C964" s="20">
        <f t="shared" ca="1" si="165"/>
        <v>9.8652407569637095</v>
      </c>
      <c r="D964" s="21">
        <f t="shared" ca="1" si="172"/>
        <v>9.8652407569637095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10.322920247983994</v>
      </c>
      <c r="C965" s="20">
        <f t="shared" ca="1" si="165"/>
        <v>10.675827660931857</v>
      </c>
      <c r="D965" s="21">
        <f t="shared" ca="1" si="172"/>
        <v>10.675827660931857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11.807214194064937</v>
      </c>
      <c r="C966" s="20">
        <f t="shared" ca="1" si="165"/>
        <v>13.462364162661316</v>
      </c>
      <c r="D966" s="21">
        <f t="shared" ca="1" si="172"/>
        <v>13.462364162661316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8.2953351235370736</v>
      </c>
      <c r="C967" s="20">
        <f t="shared" ca="1" si="165"/>
        <v>12.875951952734773</v>
      </c>
      <c r="D967" s="21">
        <f t="shared" ca="1" si="172"/>
        <v>12.875951952734773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12.533692341685473</v>
      </c>
      <c r="C968" s="20">
        <f t="shared" ca="1" si="165"/>
        <v>14.485543389528003</v>
      </c>
      <c r="D968" s="21">
        <f t="shared" ca="1" si="172"/>
        <v>14.485543389528003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9.864761163848538</v>
      </c>
      <c r="C969" s="20">
        <f t="shared" ca="1" si="165"/>
        <v>12.577519306593084</v>
      </c>
      <c r="D969" s="21">
        <f t="shared" ca="1" si="172"/>
        <v>12.577519306593084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12.230980370093171</v>
      </c>
      <c r="C970" s="20">
        <f t="shared" ca="1" si="165"/>
        <v>7.365600847708671</v>
      </c>
      <c r="D970" s="21">
        <f t="shared" ca="1" si="172"/>
        <v>7.365600847708671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9.8366547610889246</v>
      </c>
      <c r="C971" s="20">
        <f t="shared" ca="1" si="165"/>
        <v>8.439437111664466</v>
      </c>
      <c r="D971" s="21">
        <f t="shared" ca="1" si="172"/>
        <v>8.439437111664466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9.5435071278094199</v>
      </c>
      <c r="C972" s="20">
        <f t="shared" ca="1" si="165"/>
        <v>8.6988154267497446</v>
      </c>
      <c r="D972" s="21">
        <f t="shared" ref="D972:G991" ca="1" si="175">IF(AND(ISNUMBER($D$1),$F$1&gt;0,ISNUMBER(D$11),D$11&lt;=$H$1),_xlfn.NORM.INV(RAND(),$D$1,SQRT($F$1)),"")</f>
        <v>8.6988154267497446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9.028975388488762</v>
      </c>
      <c r="C973" s="20">
        <f t="shared" ref="C973:C1011" ca="1" si="178">IF(AND($H$1&gt;=1,ISNUMBER(D973)),AVERAGE(D973:W973),"")</f>
        <v>9.5588750621907508</v>
      </c>
      <c r="D973" s="21">
        <f t="shared" ca="1" si="175"/>
        <v>9.5588750621907508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11.220102056788116</v>
      </c>
      <c r="C974" s="20">
        <f t="shared" ca="1" si="178"/>
        <v>13.057146099321209</v>
      </c>
      <c r="D974" s="21">
        <f t="shared" ca="1" si="175"/>
        <v>13.057146099321209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12.420384335437587</v>
      </c>
      <c r="C975" s="20">
        <f t="shared" ca="1" si="178"/>
        <v>8.0092766853288655</v>
      </c>
      <c r="D975" s="21">
        <f t="shared" ca="1" si="175"/>
        <v>8.0092766853288655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7.9393345815955687</v>
      </c>
      <c r="C976" s="20">
        <f t="shared" ca="1" si="178"/>
        <v>9.9734619404421831</v>
      </c>
      <c r="D976" s="21">
        <f t="shared" ca="1" si="175"/>
        <v>9.9734619404421831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9.449559926301264</v>
      </c>
      <c r="C977" s="20">
        <f t="shared" ca="1" si="178"/>
        <v>9.3990365817944497</v>
      </c>
      <c r="D977" s="21">
        <f t="shared" ca="1" si="175"/>
        <v>9.3990365817944497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10.695111450292421</v>
      </c>
      <c r="C978" s="20">
        <f t="shared" ca="1" si="178"/>
        <v>12.238462157589819</v>
      </c>
      <c r="D978" s="21">
        <f t="shared" ca="1" si="175"/>
        <v>12.238462157589819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12.952576153010517</v>
      </c>
      <c r="C979" s="20">
        <f t="shared" ca="1" si="178"/>
        <v>8.022721029807963</v>
      </c>
      <c r="D979" s="21">
        <f t="shared" ca="1" si="175"/>
        <v>8.022721029807963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8.0809833248628919</v>
      </c>
      <c r="C980" s="20">
        <f t="shared" ca="1" si="178"/>
        <v>11.181410059648904</v>
      </c>
      <c r="D980" s="21">
        <f t="shared" ca="1" si="175"/>
        <v>11.181410059648904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9.8113149321313919</v>
      </c>
      <c r="C981" s="20">
        <f t="shared" ca="1" si="178"/>
        <v>11.646897392382925</v>
      </c>
      <c r="D981" s="21">
        <f t="shared" ca="1" si="175"/>
        <v>11.646897392382925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10.407442564483896</v>
      </c>
      <c r="C982" s="20">
        <f t="shared" ca="1" si="178"/>
        <v>9.9882312570522132</v>
      </c>
      <c r="D982" s="21">
        <f t="shared" ca="1" si="175"/>
        <v>9.9882312570522132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10.126394353215476</v>
      </c>
      <c r="C983" s="20">
        <f t="shared" ca="1" si="178"/>
        <v>9.4068541233908114</v>
      </c>
      <c r="D983" s="21">
        <f t="shared" ca="1" si="175"/>
        <v>9.4068541233908114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13.564907377677848</v>
      </c>
      <c r="C984" s="20">
        <f t="shared" ca="1" si="178"/>
        <v>10.680478412264168</v>
      </c>
      <c r="D984" s="21">
        <f t="shared" ca="1" si="175"/>
        <v>10.680478412264168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12.409270844426278</v>
      </c>
      <c r="C985" s="20">
        <f t="shared" ca="1" si="178"/>
        <v>13.424383184271441</v>
      </c>
      <c r="D985" s="21">
        <f t="shared" ca="1" si="175"/>
        <v>13.424383184271441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11.306663673739006</v>
      </c>
      <c r="C986" s="20">
        <f t="shared" ca="1" si="178"/>
        <v>7.6328829783638348</v>
      </c>
      <c r="D986" s="21">
        <f t="shared" ca="1" si="175"/>
        <v>7.6328829783638348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9.0107919071650215</v>
      </c>
      <c r="C987" s="20">
        <f t="shared" ca="1" si="178"/>
        <v>11.063683209090733</v>
      </c>
      <c r="D987" s="21">
        <f t="shared" ca="1" si="175"/>
        <v>11.063683209090733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10.066554572692306</v>
      </c>
      <c r="C988" s="20">
        <f t="shared" ca="1" si="178"/>
        <v>12.261180442812474</v>
      </c>
      <c r="D988" s="21">
        <f t="shared" ca="1" si="175"/>
        <v>12.261180442812474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10.05553590607437</v>
      </c>
      <c r="C989" s="20">
        <f t="shared" ca="1" si="178"/>
        <v>9.8815471007110922</v>
      </c>
      <c r="D989" s="21">
        <f t="shared" ca="1" si="175"/>
        <v>9.8815471007110922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9.3200334712971262</v>
      </c>
      <c r="C990" s="20">
        <f t="shared" ca="1" si="178"/>
        <v>11.128803852717622</v>
      </c>
      <c r="D990" s="21">
        <f t="shared" ca="1" si="175"/>
        <v>11.128803852717622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7.7626023553354813</v>
      </c>
      <c r="C991" s="20">
        <f t="shared" ca="1" si="178"/>
        <v>12.398461690568267</v>
      </c>
      <c r="D991" s="21">
        <f t="shared" ca="1" si="175"/>
        <v>12.398461690568267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10.838167213006908</v>
      </c>
      <c r="C992" s="20">
        <f t="shared" ca="1" si="178"/>
        <v>8.6138052704018637</v>
      </c>
      <c r="D992" s="21">
        <f t="shared" ref="D992:G1011" ca="1" si="180">IF(AND(ISNUMBER($D$1),$F$1&gt;0,ISNUMBER(D$11),D$11&lt;=$H$1),_xlfn.NORM.INV(RAND(),$D$1,SQRT($F$1)),"")</f>
        <v>8.6138052704018637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10.222210375852036</v>
      </c>
      <c r="C993" s="20">
        <f t="shared" ca="1" si="178"/>
        <v>11.328085083862158</v>
      </c>
      <c r="D993" s="21">
        <f t="shared" ca="1" si="180"/>
        <v>11.328085083862158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12.60023199846772</v>
      </c>
      <c r="C994" s="20">
        <f t="shared" ca="1" si="178"/>
        <v>8.8735105732419726</v>
      </c>
      <c r="D994" s="21">
        <f t="shared" ca="1" si="180"/>
        <v>8.8735105732419726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11.764748819669599</v>
      </c>
      <c r="C995" s="20">
        <f t="shared" ca="1" si="178"/>
        <v>9.6248927425536959</v>
      </c>
      <c r="D995" s="21">
        <f t="shared" ca="1" si="180"/>
        <v>9.6248927425536959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12.213061579302657</v>
      </c>
      <c r="C996" s="20">
        <f t="shared" ca="1" si="178"/>
        <v>13.994124855831046</v>
      </c>
      <c r="D996" s="21">
        <f t="shared" ca="1" si="180"/>
        <v>13.994124855831046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11.393713677464728</v>
      </c>
      <c r="C997" s="20">
        <f t="shared" ca="1" si="178"/>
        <v>7.4639270408465235</v>
      </c>
      <c r="D997" s="21">
        <f t="shared" ca="1" si="180"/>
        <v>7.4639270408465235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11.823208940114355</v>
      </c>
      <c r="C998" s="20">
        <f t="shared" ca="1" si="178"/>
        <v>13.373386087098012</v>
      </c>
      <c r="D998" s="21">
        <f t="shared" ca="1" si="180"/>
        <v>13.373386087098012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9.2145633949733217</v>
      </c>
      <c r="C999" s="20">
        <f t="shared" ca="1" si="178"/>
        <v>8.9877773220202961</v>
      </c>
      <c r="D999" s="21">
        <f t="shared" ca="1" si="180"/>
        <v>8.9877773220202961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4.5170418652496478</v>
      </c>
      <c r="C1000" s="20">
        <f t="shared" ca="1" si="178"/>
        <v>8.7203234728263226</v>
      </c>
      <c r="D1000" s="21">
        <f t="shared" ca="1" si="180"/>
        <v>8.7203234728263226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9.7835742811205932</v>
      </c>
      <c r="C1001" s="20">
        <f t="shared" ca="1" si="178"/>
        <v>9.2752466942730614</v>
      </c>
      <c r="D1001" s="21">
        <f t="shared" ca="1" si="180"/>
        <v>9.2752466942730614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7.0694814868989759</v>
      </c>
      <c r="C1002" s="20">
        <f t="shared" ca="1" si="178"/>
        <v>7.3044560013789885</v>
      </c>
      <c r="D1002" s="21">
        <f t="shared" ca="1" si="180"/>
        <v>7.3044560013789885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4.8786521152043987</v>
      </c>
      <c r="C1003" s="20">
        <f t="shared" ca="1" si="178"/>
        <v>7.2521209246101233</v>
      </c>
      <c r="D1003" s="21">
        <f t="shared" ca="1" si="180"/>
        <v>7.2521209246101233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8.4603380599790263</v>
      </c>
      <c r="C1004" s="20">
        <f t="shared" ca="1" si="178"/>
        <v>9.6974785611519163</v>
      </c>
      <c r="D1004" s="21">
        <f t="shared" ca="1" si="180"/>
        <v>9.6974785611519163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7.1814631987432627</v>
      </c>
      <c r="C1005" s="20">
        <f t="shared" ca="1" si="178"/>
        <v>13.765531386474819</v>
      </c>
      <c r="D1005" s="21">
        <f t="shared" ca="1" si="180"/>
        <v>13.765531386474819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10.870155245949752</v>
      </c>
      <c r="C1006" s="20">
        <f t="shared" ca="1" si="178"/>
        <v>11.602174937769986</v>
      </c>
      <c r="D1006" s="21">
        <f t="shared" ca="1" si="180"/>
        <v>11.602174937769986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7.4842524765622134</v>
      </c>
      <c r="C1007" s="20">
        <f t="shared" ca="1" si="178"/>
        <v>12.580272152183747</v>
      </c>
      <c r="D1007" s="21">
        <f t="shared" ca="1" si="180"/>
        <v>12.580272152183747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9.4342783798986023</v>
      </c>
      <c r="C1008" s="20">
        <f t="shared" ca="1" si="178"/>
        <v>7.8602047155413928</v>
      </c>
      <c r="D1008" s="21">
        <f t="shared" ca="1" si="180"/>
        <v>7.8602047155413928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12.697560172841069</v>
      </c>
      <c r="C1009" s="20">
        <f t="shared" ca="1" si="178"/>
        <v>9.3149040617191279</v>
      </c>
      <c r="D1009" s="21">
        <f t="shared" ca="1" si="180"/>
        <v>9.3149040617191279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11.96025829350717</v>
      </c>
      <c r="C1010" s="20">
        <f t="shared" ca="1" si="178"/>
        <v>12.187980048594273</v>
      </c>
      <c r="D1010" s="21">
        <f t="shared" ca="1" si="180"/>
        <v>12.187980048594273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8.6345713132494044</v>
      </c>
      <c r="C1011" s="20">
        <f t="shared" ca="1" si="178"/>
        <v>12.649130608242428</v>
      </c>
      <c r="D1011" s="21">
        <f t="shared" ca="1" si="180"/>
        <v>12.649130608242428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customXml/itemProps3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2025-05-11T23:02:06Z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